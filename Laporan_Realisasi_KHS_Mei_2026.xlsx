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89F2A3F3-3A83-4B5A-B573-0C6C354A2C24}" xr6:coauthVersionLast="47" xr6:coauthVersionMax="47" xr10:uidLastSave="{00000000-0000-0000-0000-000000000000}"/>
  <bookViews>
    <workbookView xWindow="780" yWindow="780" windowWidth="21600" windowHeight="13605" xr2:uid="{00000000-000D-0000-FFFF-FFFF00000000}"/>
  </bookViews>
  <sheets>
    <sheet name="HARTEK PADALAR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L171" i="1" l="1"/>
  <c r="AL170" i="1"/>
  <c r="AM170" i="1" s="1"/>
  <c r="AL169" i="1"/>
  <c r="AM169" i="1" s="1"/>
  <c r="AL168" i="1"/>
  <c r="AM168" i="1" s="1"/>
  <c r="AL167" i="1"/>
  <c r="AM167" i="1" s="1"/>
  <c r="AL166" i="1"/>
  <c r="AM166" i="1" s="1"/>
  <c r="AL165" i="1"/>
  <c r="AM165" i="1" s="1"/>
  <c r="AL164" i="1"/>
  <c r="AM164" i="1" s="1"/>
  <c r="AL163" i="1"/>
  <c r="AM163" i="1" s="1"/>
  <c r="AM162" i="1"/>
  <c r="AL161" i="1"/>
  <c r="AM161" i="1" s="1"/>
  <c r="AM160" i="1"/>
  <c r="AL160" i="1"/>
  <c r="AL159" i="1"/>
  <c r="AM159" i="1" s="1"/>
  <c r="AM158" i="1"/>
  <c r="AL158" i="1"/>
  <c r="AL157" i="1"/>
  <c r="AM157" i="1" s="1"/>
  <c r="AM156" i="1"/>
  <c r="AL156" i="1"/>
  <c r="AL155" i="1"/>
  <c r="AM155" i="1" s="1"/>
  <c r="AM154" i="1"/>
  <c r="AM153" i="1"/>
  <c r="AL153" i="1"/>
  <c r="AL152" i="1"/>
  <c r="AM152" i="1" s="1"/>
  <c r="AM151" i="1"/>
  <c r="AL151" i="1"/>
  <c r="AL150" i="1"/>
  <c r="AM150" i="1" s="1"/>
  <c r="AM149" i="1"/>
  <c r="AL149" i="1"/>
  <c r="AL148" i="1"/>
  <c r="AM148" i="1" s="1"/>
  <c r="AM147" i="1"/>
  <c r="AL147" i="1"/>
  <c r="AM146" i="1"/>
  <c r="AM145" i="1"/>
  <c r="AL145" i="1"/>
  <c r="AM144" i="1"/>
  <c r="AM143" i="1"/>
  <c r="AM142" i="1"/>
  <c r="AM141" i="1"/>
  <c r="AL141" i="1"/>
  <c r="AL140" i="1"/>
  <c r="AM140" i="1" s="1"/>
  <c r="AM139" i="1"/>
  <c r="AL139" i="1"/>
  <c r="AL138" i="1"/>
  <c r="AM138" i="1" s="1"/>
  <c r="AM137" i="1"/>
  <c r="AL137" i="1"/>
  <c r="AL136" i="1"/>
  <c r="AM136" i="1" s="1"/>
  <c r="AM135" i="1"/>
  <c r="AL135" i="1"/>
  <c r="AL134" i="1"/>
  <c r="AM134" i="1" s="1"/>
  <c r="AM133" i="1"/>
  <c r="AL132" i="1"/>
  <c r="AM132" i="1" s="1"/>
  <c r="AM131" i="1"/>
  <c r="AL131" i="1"/>
  <c r="AL130" i="1"/>
  <c r="AM130" i="1" s="1"/>
  <c r="AM129" i="1"/>
  <c r="AL129" i="1"/>
  <c r="AL128" i="1"/>
  <c r="AM128" i="1" s="1"/>
  <c r="AM127" i="1"/>
  <c r="AL127" i="1"/>
  <c r="AL126" i="1"/>
  <c r="AM126" i="1" s="1"/>
  <c r="AM125" i="1"/>
  <c r="AM124" i="1"/>
  <c r="AL124" i="1"/>
  <c r="AL123" i="1"/>
  <c r="AM123" i="1" s="1"/>
  <c r="AM122" i="1"/>
  <c r="AL121" i="1"/>
  <c r="AM121" i="1" s="1"/>
  <c r="AM120" i="1"/>
  <c r="AL120" i="1"/>
  <c r="AL119" i="1"/>
  <c r="AM119" i="1" s="1"/>
  <c r="AM118" i="1"/>
  <c r="AL118" i="1"/>
  <c r="AL117" i="1"/>
  <c r="AM117" i="1" s="1"/>
  <c r="AM116" i="1"/>
  <c r="AL116" i="1"/>
  <c r="AL115" i="1"/>
  <c r="AM115" i="1" s="1"/>
  <c r="AM114" i="1"/>
  <c r="AL114" i="1"/>
  <c r="AL113" i="1"/>
  <c r="AM113" i="1" s="1"/>
  <c r="AM112" i="1"/>
  <c r="AL112" i="1"/>
  <c r="AL111" i="1"/>
  <c r="AM111" i="1" s="1"/>
  <c r="AM110" i="1"/>
  <c r="AL110" i="1"/>
  <c r="AL109" i="1"/>
  <c r="AM109" i="1" s="1"/>
  <c r="AM108" i="1"/>
  <c r="AL108" i="1"/>
  <c r="AL107" i="1"/>
  <c r="AM107" i="1" s="1"/>
  <c r="AM106" i="1"/>
  <c r="AL106" i="1"/>
  <c r="AL105" i="1"/>
  <c r="AM105" i="1" s="1"/>
  <c r="AM104" i="1"/>
  <c r="AL104" i="1"/>
  <c r="AL103" i="1"/>
  <c r="AM103" i="1" s="1"/>
  <c r="AM102" i="1"/>
  <c r="AL102" i="1"/>
  <c r="AL101" i="1"/>
  <c r="AM101" i="1" s="1"/>
  <c r="AM100" i="1"/>
  <c r="AL100" i="1"/>
  <c r="AL99" i="1"/>
  <c r="AM99" i="1" s="1"/>
  <c r="AM98" i="1"/>
  <c r="AL98" i="1"/>
  <c r="AL97" i="1"/>
  <c r="AM97" i="1" s="1"/>
  <c r="AM96" i="1"/>
  <c r="AL96" i="1"/>
  <c r="AL95" i="1"/>
  <c r="AM95" i="1" s="1"/>
  <c r="AM94" i="1"/>
  <c r="AL94" i="1"/>
  <c r="AL93" i="1"/>
  <c r="AM93" i="1" s="1"/>
  <c r="AM92" i="1"/>
  <c r="AL92" i="1"/>
  <c r="AL91" i="1"/>
  <c r="AM91" i="1" s="1"/>
  <c r="AM90" i="1"/>
  <c r="AL90" i="1"/>
  <c r="AL89" i="1"/>
  <c r="AM89" i="1" s="1"/>
  <c r="AM88" i="1"/>
  <c r="AL88" i="1"/>
  <c r="AL87" i="1"/>
  <c r="AM87" i="1" s="1"/>
  <c r="AM86" i="1"/>
  <c r="AL86" i="1"/>
  <c r="AL85" i="1"/>
  <c r="AM85" i="1" s="1"/>
  <c r="AM84" i="1"/>
  <c r="AL84" i="1"/>
  <c r="AL83" i="1"/>
  <c r="AM83" i="1" s="1"/>
  <c r="AM82" i="1"/>
  <c r="AL82" i="1"/>
  <c r="AL81" i="1"/>
  <c r="AM81" i="1" s="1"/>
  <c r="AM80" i="1"/>
  <c r="AL80" i="1"/>
  <c r="AM79" i="1"/>
  <c r="AL78" i="1"/>
  <c r="AM78" i="1" s="1"/>
  <c r="AM77" i="1"/>
  <c r="AL77" i="1"/>
  <c r="AL76" i="1"/>
  <c r="AM76" i="1" s="1"/>
  <c r="AM75" i="1"/>
  <c r="AL75" i="1"/>
  <c r="AL74" i="1"/>
  <c r="AM74" i="1" s="1"/>
  <c r="AM73" i="1"/>
  <c r="AL73" i="1"/>
  <c r="AL72" i="1"/>
  <c r="AM72" i="1" s="1"/>
  <c r="AM71" i="1"/>
  <c r="AL71" i="1"/>
  <c r="AL70" i="1"/>
  <c r="AM70" i="1" s="1"/>
  <c r="AM69" i="1"/>
  <c r="AL69" i="1"/>
  <c r="AL68" i="1"/>
  <c r="AM68" i="1" s="1"/>
  <c r="AM67" i="1"/>
  <c r="AL67" i="1"/>
  <c r="AL66" i="1"/>
  <c r="AM66" i="1" s="1"/>
  <c r="AM65" i="1"/>
  <c r="AL65" i="1"/>
  <c r="AL64" i="1"/>
  <c r="AM64" i="1" s="1"/>
  <c r="AM63" i="1"/>
  <c r="AL63" i="1"/>
  <c r="AM62" i="1"/>
  <c r="AM61" i="1"/>
  <c r="AL61" i="1"/>
  <c r="AL60" i="1"/>
  <c r="AM60" i="1" s="1"/>
  <c r="AM59" i="1"/>
  <c r="AL59" i="1"/>
  <c r="AL58" i="1"/>
  <c r="AM58" i="1" s="1"/>
  <c r="AM57" i="1"/>
  <c r="AL57" i="1"/>
  <c r="AL56" i="1"/>
  <c r="AM56" i="1" s="1"/>
  <c r="AM55" i="1"/>
  <c r="AL55" i="1"/>
  <c r="AL54" i="1"/>
  <c r="AM54" i="1" s="1"/>
  <c r="AM53" i="1"/>
  <c r="AL53" i="1"/>
  <c r="AL52" i="1"/>
  <c r="AM52" i="1" s="1"/>
  <c r="AM51" i="1"/>
  <c r="AL51" i="1"/>
  <c r="AL50" i="1"/>
  <c r="AM50" i="1" s="1"/>
  <c r="AM49" i="1"/>
  <c r="AL49" i="1"/>
  <c r="AL48" i="1"/>
  <c r="AM48" i="1" s="1"/>
  <c r="AM47" i="1"/>
  <c r="AL47" i="1"/>
  <c r="AL46" i="1"/>
  <c r="AM46" i="1" s="1"/>
  <c r="AM45" i="1"/>
  <c r="AL45" i="1"/>
  <c r="AL44" i="1"/>
  <c r="AM44" i="1" s="1"/>
  <c r="AM43" i="1"/>
  <c r="AL43" i="1"/>
  <c r="AL42" i="1"/>
  <c r="AM42" i="1" s="1"/>
  <c r="AM41" i="1"/>
  <c r="AL41" i="1"/>
  <c r="AL40" i="1"/>
  <c r="AM40" i="1" s="1"/>
  <c r="AM39" i="1"/>
  <c r="AL39" i="1"/>
  <c r="AL38" i="1"/>
  <c r="AM38" i="1" s="1"/>
  <c r="AM37" i="1"/>
  <c r="AL37" i="1"/>
  <c r="AL36" i="1"/>
  <c r="AM36" i="1" s="1"/>
  <c r="AM35" i="1"/>
  <c r="AL35" i="1"/>
  <c r="AL34" i="1"/>
  <c r="AM34" i="1" s="1"/>
  <c r="AM33" i="1"/>
  <c r="AL33" i="1"/>
  <c r="AL32" i="1"/>
  <c r="AM32" i="1" s="1"/>
  <c r="AM31" i="1"/>
  <c r="AL31" i="1"/>
  <c r="AL30" i="1"/>
  <c r="AM30" i="1" s="1"/>
  <c r="AM29" i="1"/>
  <c r="AL29" i="1"/>
  <c r="AL28" i="1"/>
  <c r="AM28" i="1" s="1"/>
  <c r="AM27" i="1"/>
  <c r="AL27" i="1"/>
  <c r="AL26" i="1"/>
  <c r="AM26" i="1" s="1"/>
  <c r="AM25" i="1"/>
  <c r="AL25" i="1"/>
  <c r="AL24" i="1"/>
  <c r="AM24" i="1" s="1"/>
  <c r="AM23" i="1"/>
  <c r="AL23" i="1"/>
  <c r="AL22" i="1"/>
  <c r="AM22" i="1" s="1"/>
  <c r="AM21" i="1"/>
  <c r="AL21" i="1"/>
  <c r="AL20" i="1"/>
  <c r="AM20" i="1" s="1"/>
  <c r="AM19" i="1"/>
  <c r="AL19" i="1"/>
  <c r="AL18" i="1"/>
  <c r="AM18" i="1" s="1"/>
  <c r="AM17" i="1"/>
  <c r="AL17" i="1"/>
  <c r="AL16" i="1"/>
  <c r="AM16" i="1" s="1"/>
  <c r="AM15" i="1"/>
  <c r="AL15" i="1"/>
  <c r="AL14" i="1"/>
  <c r="AM14" i="1" s="1"/>
  <c r="AM13" i="1"/>
  <c r="AL13" i="1"/>
  <c r="AL12" i="1"/>
  <c r="AM12" i="1" s="1"/>
  <c r="AM11" i="1"/>
  <c r="AL11" i="1"/>
  <c r="AL10" i="1"/>
  <c r="AM10" i="1" s="1"/>
  <c r="AM9" i="1"/>
  <c r="AL9" i="1"/>
  <c r="AL8" i="1"/>
  <c r="AM8" i="1" s="1"/>
  <c r="AM7" i="1"/>
  <c r="AL7" i="1"/>
  <c r="AL6" i="1"/>
  <c r="AM6" i="1" s="1"/>
  <c r="AM17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2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Pencocokan AI: Item ini ragu/fuzzy berdasarkan teks laporan lapangan.</t>
        </r>
      </text>
    </comment>
    <comment ref="B14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Pencocokan AI: Item ini ragu/fuzzy berdasarkan teks laporan lapangan.</t>
        </r>
      </text>
    </comment>
  </commentList>
</comments>
</file>

<file path=xl/sharedStrings.xml><?xml version="1.0" encoding="utf-8"?>
<sst xmlns="http://schemas.openxmlformats.org/spreadsheetml/2006/main" count="446" uniqueCount="175">
  <si>
    <t>KINERJA VARCOST BULAN MEI 2026</t>
  </si>
  <si>
    <t>PT PLN ELECTRICITY SERVICES UL CIMAHI ULP PADALARANG</t>
  </si>
  <si>
    <t>NO</t>
  </si>
  <si>
    <t>URAIAN</t>
  </si>
  <si>
    <t>TARGET</t>
  </si>
  <si>
    <t>SATUAN</t>
  </si>
  <si>
    <t>KHS PLN</t>
  </si>
  <si>
    <t>MEI 2026</t>
  </si>
  <si>
    <t>I</t>
  </si>
  <si>
    <t>TIM HARTEK</t>
  </si>
  <si>
    <t>REGU</t>
  </si>
  <si>
    <t>TOTAL</t>
  </si>
  <si>
    <t>TOTAL RUPIAH</t>
  </si>
  <si>
    <t>ANALISA HARGA PENGGANTIAN ISOLATOR TUMPU</t>
  </si>
  <si>
    <t>1 Isolator / Tiang</t>
  </si>
  <si>
    <t>PLNES</t>
  </si>
  <si>
    <t>2 Isolator / Tiang</t>
  </si>
  <si>
    <t>3 Isolator / Tiang</t>
  </si>
  <si>
    <t>4 Isolator / Tiang</t>
  </si>
  <si>
    <t>5 Isolator / Tiang</t>
  </si>
  <si>
    <t>6 Isolator / Tiang</t>
  </si>
  <si>
    <t>ANALISA HARGA PENGGANTIAN ISOLATOR PENEGANG (ASPAN)</t>
  </si>
  <si>
    <t>ANALISA HARGA PENGGANTIAN JUMPER SUTM</t>
  </si>
  <si>
    <t>1 Jumper / Tiang</t>
  </si>
  <si>
    <t>2 Jumper / Tiang</t>
  </si>
  <si>
    <t>3 Jumper / Tiang</t>
  </si>
  <si>
    <t>ANALISA HARGA PERBAIKAN KAWAT RANTAS MINOR</t>
  </si>
  <si>
    <t>1 Kawat / Tiang</t>
  </si>
  <si>
    <t>2 Kawat / Tiang</t>
  </si>
  <si>
    <t>3 Kawat / Tiang</t>
  </si>
  <si>
    <t>4 Kawat / Tiang</t>
  </si>
  <si>
    <t>5 Kawat / Tiang</t>
  </si>
  <si>
    <t>6 Kawat / Tiang</t>
  </si>
  <si>
    <t>ANALISA HARGA PERBAIKAN KAWAT RANTAS MAYOR</t>
  </si>
  <si>
    <t>ANALISA HARGA PERBAIKAN TIANG MIRING &lt; 30°</t>
  </si>
  <si>
    <t>Tiang</t>
  </si>
  <si>
    <t>ANALISA HARGA PENGGANTIAN TRAVERS TUMPU</t>
  </si>
  <si>
    <t>1 Travers / Tiang</t>
  </si>
  <si>
    <t>2 Travers / Tiang</t>
  </si>
  <si>
    <t>ANALISA HARGA PENGGANTIAN TRAVERS ASPAN</t>
  </si>
  <si>
    <t>ANALISA HARGA PERBAIKAN ANDONGAN SUTM</t>
  </si>
  <si>
    <t>1 Kawat / Gawang</t>
  </si>
  <si>
    <t>2 Kawat / Gawang</t>
  </si>
  <si>
    <t>3 Kawat / Gawang</t>
  </si>
  <si>
    <t>ANALISA HARGA PENGGANTIAN ARRESTER JARING</t>
  </si>
  <si>
    <t>1 Arrester / Tiang</t>
  </si>
  <si>
    <t>2 Arrester / Tiang</t>
  </si>
  <si>
    <t>3 Arrester / Tiang</t>
  </si>
  <si>
    <t>ANALISA HARGA PENGGANTIAN FCO JARING</t>
  </si>
  <si>
    <t>1 FCO / Tiang</t>
  </si>
  <si>
    <t>2 FCO / Tiang</t>
  </si>
  <si>
    <t>3 FCO / Tiang</t>
  </si>
  <si>
    <t>ANALISA HARGA PERBAIKAN KONSTRUKSI / KONEKSI PENTANAHAN GSW JARING PASANGAN ATAS</t>
  </si>
  <si>
    <t>Gawang</t>
  </si>
  <si>
    <t>ANALISA HARGA PERBAIKAN KONSTRUKSI / KONEKSI PENTANAHAN GSW JARING PASANGAN BAWAH</t>
  </si>
  <si>
    <t>ANALISA HARGA PERBAIKAN PENTANAHAN TIANG</t>
  </si>
  <si>
    <t>Titik</t>
  </si>
  <si>
    <t>Pasang TM - 1 B/H (TIANG TUMPU)</t>
  </si>
  <si>
    <t>set</t>
  </si>
  <si>
    <t>Pasang TM - 2 B/H (TIANG DOUBLE TUMPU)</t>
  </si>
  <si>
    <t>Pasang TM - 3 B/H (TIANG TUMPU DOUBLE SIRKIT)</t>
  </si>
  <si>
    <t>Pasang TM - 4 B/H (TIANG AFSPAN)</t>
  </si>
  <si>
    <t>Pasang TM - 4 B/H C (TIANG AFSPAN DENGAN CUT OUT)</t>
  </si>
  <si>
    <t>Pasang TM - 4 HP (TIANG AFSPAN PORTAL)</t>
  </si>
  <si>
    <t>Pasang TM - 5 B/H (TIANG AFSPAN PORTAL 125 s/d 170 mtr)</t>
  </si>
  <si>
    <t>Pasang TM - 6 B/H (TIANG AFSPAN PORTAL 170 s/d 235 mtr)</t>
  </si>
  <si>
    <t>Pasang TM - 7 B/H (TIANG AFSPAN SUDU 90 DERAJAT)</t>
  </si>
  <si>
    <t>Pasang TM - 8 B/H (TIANG PERCABANGAN JARINGAN)</t>
  </si>
  <si>
    <t>Pasang TM-8 BC/HC (TIANG PERCABANGAN JARINGAN DENGAN CO)</t>
  </si>
  <si>
    <t>Pasang TM - 9 B/H (TIANG PERCABANGAN JARINGAN DOUBLE SIRKIT)</t>
  </si>
  <si>
    <t>Pasang TM - 10 B/H (TIANG DUA PERCABANGAN JARINGAN)</t>
  </si>
  <si>
    <t>Pasang TM - 11 B/H (KABEL NAIK TIANG AWAL / AKHIR TIANG TUNGGAL)</t>
  </si>
  <si>
    <t>Pasang TM - 12 B/H (KABEL NAIK TIANG AWAL / AKHIR DUA SALURAN)</t>
  </si>
  <si>
    <t>Pasang TM - 13 B/H (KABEL NAIK TIANG TUNGGAL PADA TIANG TUMPU)</t>
  </si>
  <si>
    <t>Pasang TM - 14 B1/H1 / MV - 3 A (TIANG AWAL)</t>
  </si>
  <si>
    <t>Pasang TM - 14 B/H / MV - 3 A (TIANG AKHIR)</t>
  </si>
  <si>
    <t>Pasang TM - 14 B2/H2 / MV - 3A (TIANG AWAL TANPA TRAVERS)</t>
  </si>
  <si>
    <t>Pasang TM - 15 B/H (LOAD BREAK SWITCH)</t>
  </si>
  <si>
    <t>Pasang TM - 21 (TRAVERS TYPE V )</t>
  </si>
  <si>
    <t>Pasang MVS - 1  (TIANG TUMPU PADA TIANG BESI)</t>
  </si>
  <si>
    <t>Pasang MVS - 2  (TIANG DOUBLE TUMPU PADA TIANG BESI)</t>
  </si>
  <si>
    <t>Pasang MVS -  3 (TIANG AWAL PADA TIANG BESI)</t>
  </si>
  <si>
    <t>Pasang MVS -  3 (TIANG AKHIR PADA TIANG BESI)</t>
  </si>
  <si>
    <t>Bongkar TM - 1 B/H (TIANG TUMPU)</t>
  </si>
  <si>
    <t>Bongkar TM - 2 B/H (TIANG DOUBLE TUMPU)</t>
  </si>
  <si>
    <t>Bongkar TM - 3 B/H (TIANG TUMPU DOUBLE SIRKIT)</t>
  </si>
  <si>
    <t>Bongkar TM - 4 B/H (TIANG AFSPAN )</t>
  </si>
  <si>
    <t>Bongkar TM - 4 B/H C (TIANG AFSPAN DENGAN CUT OUT)</t>
  </si>
  <si>
    <t>Bongkar TM - 4 HP (TIANG AFSPAN PORTAL)</t>
  </si>
  <si>
    <t>Bongkar TM - 5 B/H (TIANG AFSPAN PORTAL 125 s/d 170 mtr)</t>
  </si>
  <si>
    <t>Bongkar TM - 6 B/H (TIANG AFSPAN PORTAL 170 s/d 235 mtr)</t>
  </si>
  <si>
    <t>Bongkar TM - 7 B/H (TIANG AFSPAN SUDU 90 DERAJAT)</t>
  </si>
  <si>
    <t>Bongkar TM - 8 B/H (TIANG PERCABANGAN JARINGAN)</t>
  </si>
  <si>
    <t>Bongkar TM-8 BC/HC (TIANG PERCABANGAN JARINGAN DENGAN CO)</t>
  </si>
  <si>
    <t>Bongkar TM - 9 B/H (TIANG PERCABANGAN JARINGAN DOUBLE SIRKIT)</t>
  </si>
  <si>
    <t>Bongkar TM - 10 B/H (TIANG DUA PERCABANGAN JARINGAN)</t>
  </si>
  <si>
    <t>BongkarTM - 11 B/H (KABEL NAIK TIANG AWAL / AKHIR TIANG TUNGGAL)</t>
  </si>
  <si>
    <t>Bongkar TM - 12 B/H (KABEL NAIK TIANG AWAL / AKHIR DUA SALURAN)</t>
  </si>
  <si>
    <t>Bongkar TM - 13 B/H (KABEL NAIK TIANG TUNGGAL PADA TIANG TUMPU)</t>
  </si>
  <si>
    <t>Bongkar TM - 14 B1/H1 / MV - 3A (TIANG AWAL)</t>
  </si>
  <si>
    <t>Bongkar TM - 14 B/H / MV - 3A (TIANG AKHIR)</t>
  </si>
  <si>
    <t>Bongkar TM - 14 B2/H2 / MV - 3A (TIANG AWAL TANPA TRAVERS)</t>
  </si>
  <si>
    <t>Bongkar TM - 15 B/H (LOAD BREAK SWITCH)</t>
  </si>
  <si>
    <t>Bongkar TM - 21 ( TRAVERS TYPE V)</t>
  </si>
  <si>
    <t>Bongkar MVS - 1  (TIANG TUMPU PADA TIANG BESI)</t>
  </si>
  <si>
    <t>Bongkar MVS - 2  (TIANG DOUBLE TUMPU PADA TIANG BESI)</t>
  </si>
  <si>
    <t>Bongkar MVS -  3 (TIANG AWAL PADA TIANG BESI)</t>
  </si>
  <si>
    <t>Bongkar MVS -  3 (TIANG AKHIR PADA TIANG BESI)</t>
  </si>
  <si>
    <t>VI</t>
  </si>
  <si>
    <t>PEKERJAAN TEKNIK GARDU</t>
  </si>
  <si>
    <t>ANALISA HARGA BONGKAR-PASANG TRAFO CANTOL</t>
  </si>
  <si>
    <t>Unit</t>
  </si>
  <si>
    <t>ANALISA HARGA BONGKAR-PASANG TRAFO PORTAL</t>
  </si>
  <si>
    <t>ANALISA HARGA PEMELIHARAAN TRAFO CANTOL</t>
  </si>
  <si>
    <t>ANALISA HARGA PEMELIHARAAN TRAFO PORTAL</t>
  </si>
  <si>
    <t>ANALISA HARGA PENGGANTIAN ARRESTER GARDU</t>
  </si>
  <si>
    <t>1 Arrester / Gardu</t>
  </si>
  <si>
    <t>2 Arrester / Gardu</t>
  </si>
  <si>
    <t>3 Arrester / Gardu</t>
  </si>
  <si>
    <t>ANALISA HARGA PENGGANTIAN FCO GARDU</t>
  </si>
  <si>
    <t>1 FCO / Gardu</t>
  </si>
  <si>
    <t>2 FCO / Gardu</t>
  </si>
  <si>
    <t>3 FCO / Gardu</t>
  </si>
  <si>
    <t>ANALISA HARGA BONGKAR PASANG PHBTR</t>
  </si>
  <si>
    <t>VII</t>
  </si>
  <si>
    <t>PEKERJAAN TEKNIK SWITCHING</t>
  </si>
  <si>
    <t>ANALISA HARGA BONGKAR PASANG  REC / SSO / LBS / DS</t>
  </si>
  <si>
    <t>ANALISA HARGA BONGKAR REC / SSO / LBS / DS</t>
  </si>
  <si>
    <t>ANALISA HARGA BONGKAR PASANG KUBIKEL</t>
  </si>
  <si>
    <t>ANALISA HARGA PEMELIHARAAN KUBIKEL IM</t>
  </si>
  <si>
    <t>ANALISA HARGA PEMELIHARAAN KUBIKEL DM</t>
  </si>
  <si>
    <t>ANALISA HARGA PEMELIHARAAN KUBIKEL TP/PM</t>
  </si>
  <si>
    <t>VIII</t>
  </si>
  <si>
    <t>PEKERJAAN VVIP UNIT BERGERAK</t>
  </si>
  <si>
    <t>ANALISA HARGA PEMASANGAN UNIT GARDU BERGERAK</t>
  </si>
  <si>
    <t>ANALISA HARGA PEMASANGAN GENSET MOBILE</t>
  </si>
  <si>
    <t>ANALISA HARGA PEMASANGAN UNIT KABEL BERGERAK</t>
  </si>
  <si>
    <t>ANALISA HARGA PEMASANGAN UPS BERGERAK</t>
  </si>
  <si>
    <t>ANALISA HARGA PEMASANGAN UPS PORTABLE</t>
  </si>
  <si>
    <t>IX</t>
  </si>
  <si>
    <t>PEKERJAAN TEKNIK SUTR</t>
  </si>
  <si>
    <t>ANALISA HARGA PENGGANTIAN TAP KONEKTOR</t>
  </si>
  <si>
    <t>ANALISA HARGA PEMELIHARAAN TITIK SAMBUNG JTR</t>
  </si>
  <si>
    <t xml:space="preserve">ANALISA HARGA PERBAIKAN TIANG TR MIRING </t>
  </si>
  <si>
    <t>ANALISA HARGA PENGGANTIAN JTR RUSAK</t>
  </si>
  <si>
    <t>ANALISA HARGA PERBAIKAN JTR LEPAS/MELOROT</t>
  </si>
  <si>
    <t>ANALISA HARGA PERBAIKAN SR LEPAS</t>
  </si>
  <si>
    <t>ANALISA HARGA PASANG TIANG TR</t>
  </si>
  <si>
    <t>X</t>
  </si>
  <si>
    <t>PEKERJAAN PEMELIHARAAN SIPIL</t>
  </si>
  <si>
    <t>ANALISA HARGA PERBAIKAN ATAP/DAK GARDU TEMBOK  REMBES</t>
  </si>
  <si>
    <t>Gardu</t>
  </si>
  <si>
    <t>ANALISA HARGA PERBAIKAN GARDU TEMBOK RETAK</t>
  </si>
  <si>
    <t>ANALISA HARGA PEMELIHARAAN RABAT GARDU TEMBOK</t>
  </si>
  <si>
    <t>ANALISA HARGA PEMELIHARAAN RABAT GARDU PORTAL</t>
  </si>
  <si>
    <t>ANALISA HARGA PEMELIHARAAN RABAT GARDU CANTOL</t>
  </si>
  <si>
    <t>ANALISA PENGEROKAN &amp; PENGECATAN GARDU TEMBOK</t>
  </si>
  <si>
    <t>ANALISA HARGA PLESTER MAINHOLE</t>
  </si>
  <si>
    <t>XIII</t>
  </si>
  <si>
    <t>PEKERJAAN SUPPORTING</t>
  </si>
  <si>
    <t>ANALISA PEMELIHARAAN PMFD</t>
  </si>
  <si>
    <t>ANALISA PEMELIHARAAN GFD</t>
  </si>
  <si>
    <t>ANALISA HARGA PENGGANTIAN TOP TIES/BENDING WIRE</t>
  </si>
  <si>
    <t>1 Titik / Tiang</t>
  </si>
  <si>
    <t>2 Titik / Tiang</t>
  </si>
  <si>
    <t>3 Titik / Tiang</t>
  </si>
  <si>
    <t>ANALISA HARGA PENGGANTIAN SIDE TIES</t>
  </si>
  <si>
    <t>ANALISA HARGA PENGGANTIAN DOUBLE TIES</t>
  </si>
  <si>
    <t>ANALISA PASANG PENGHALANG PANJAT</t>
  </si>
  <si>
    <t>ANALISA HARGA PASANG ALPIJAR / SIPENJOL</t>
  </si>
  <si>
    <t>ANALISA PASANG COVER BUSHING TRAFO (CBT)</t>
  </si>
  <si>
    <t>1 Titik / Trafo</t>
  </si>
  <si>
    <t>2 Titik / Trafo</t>
  </si>
  <si>
    <t>3 Titik / Trafo</t>
  </si>
  <si>
    <t>ANALISA PASANG COVER BUSHING ARRESTER (CBA)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</si>
</sst>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.00"/>
    <numFmt numFmtId="165" formatCode="_-* #,##0_-;\-* #,##0_-;_-* &quot;-&quot;_-;_-@"/>
    <numFmt numFmtId="166" formatCode="&quot;Rp&quot;#,##0.00"/>
  </numFmts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1"/>
      <color theme="1"/>
      <name val="Calibri"/>
      <scheme val="minor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 readingOrder="1"/>
    </xf>
    <xf numFmtId="164" fontId="1" fillId="0" borderId="0" xfId="0" applyNumberFormat="1" applyFont="1" applyAlignment="1">
      <alignment horizontal="center" readingOrder="1"/>
    </xf>
    <xf numFmtId="0" fontId="2" fillId="0" borderId="0" xfId="0" applyFont="1" applyAlignment="1">
      <alignment horizontal="center"/>
    </xf>
    <xf numFmtId="165" fontId="3" fillId="0" borderId="0" xfId="0" applyNumberFormat="1" applyFont="1"/>
    <xf numFmtId="165" fontId="3" fillId="0" borderId="0" xfId="0" applyNumberFormat="1" applyFont="1" applyAlignment="1">
      <alignment horizontal="center"/>
    </xf>
    <xf numFmtId="164" fontId="4" fillId="0" borderId="0" xfId="0" applyNumberFormat="1" applyFont="1"/>
    <xf numFmtId="0" fontId="2" fillId="0" borderId="1" xfId="0" applyFont="1" applyBorder="1" applyAlignment="1">
      <alignment horizontal="center" vertical="top"/>
    </xf>
    <xf numFmtId="165" fontId="2" fillId="0" borderId="1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readingOrder="1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66" fontId="3" fillId="3" borderId="1" xfId="0" applyNumberFormat="1" applyFont="1" applyFill="1" applyBorder="1"/>
    <xf numFmtId="165" fontId="3" fillId="3" borderId="1" xfId="0" applyNumberFormat="1" applyFont="1" applyFill="1" applyBorder="1"/>
    <xf numFmtId="165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readingOrder="1"/>
    </xf>
    <xf numFmtId="164" fontId="3" fillId="3" borderId="1" xfId="0" applyNumberFormat="1" applyFont="1" applyFill="1" applyBorder="1"/>
    <xf numFmtId="0" fontId="3" fillId="3" borderId="0" xfId="0" applyFont="1" applyFill="1"/>
    <xf numFmtId="0" fontId="3" fillId="0" borderId="0" xfId="0" applyFont="1" applyAlignment="1">
      <alignment horizontal="center"/>
    </xf>
    <xf numFmtId="0" fontId="4" fillId="0" borderId="1" xfId="0" applyFont="1" applyBorder="1"/>
    <xf numFmtId="164" fontId="4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readingOrder="1"/>
    </xf>
    <xf numFmtId="0" fontId="2" fillId="0" borderId="2" xfId="0" applyFont="1" applyBorder="1" applyAlignment="1">
      <alignment horizontal="center" vertical="top"/>
    </xf>
    <xf numFmtId="0" fontId="5" fillId="0" borderId="3" xfId="0" applyFont="1" applyBorder="1"/>
    <xf numFmtId="0" fontId="5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AP1000"/>
  <sheetViews>
    <sheetView showGridLines="0" tabSelected="1" topLeftCell="E142" zoomScaleNormal="100" workbookViewId="0">
      <selection activeCell="AL162" sqref="AL162"/>
    </sheetView>
  </sheetViews>
  <sheetFormatPr defaultColWidth="14.42578125" defaultRowHeight="15" x14ac:dyDescent="0.25"/>
  <cols>
    <col min="1" max="1" width="9.140625" customWidth="1"/>
    <col min="2" max="2" width="82.42578125" customWidth="1"/>
    <col min="3" max="3" width="8.7109375" customWidth="1"/>
    <col min="4" max="4" width="15.42578125" customWidth="1"/>
    <col min="5" max="5" width="10.28515625" customWidth="1"/>
    <col min="6" max="6" width="10" customWidth="1"/>
    <col min="7" max="12" width="3.28515625" customWidth="1"/>
    <col min="13" max="13" width="6.42578125" bestFit="1" customWidth="1"/>
    <col min="14" max="15" width="3.28515625" customWidth="1"/>
    <col min="16" max="18" width="6.42578125" bestFit="1" customWidth="1"/>
    <col min="19" max="19" width="3.28515625" customWidth="1"/>
    <col min="20" max="20" width="6.42578125" bestFit="1" customWidth="1"/>
    <col min="21" max="24" width="3.28515625" customWidth="1"/>
    <col min="25" max="25" width="7.42578125" bestFit="1" customWidth="1"/>
    <col min="26" max="33" width="3.28515625" customWidth="1"/>
    <col min="34" max="35" width="6.42578125" bestFit="1" customWidth="1"/>
    <col min="36" max="36" width="3.28515625" customWidth="1"/>
    <col min="37" max="37" width="7.42578125" bestFit="1" customWidth="1"/>
    <col min="38" max="38" width="13.42578125" bestFit="1" customWidth="1"/>
    <col min="39" max="39" width="21.5703125" bestFit="1" customWidth="1"/>
    <col min="40" max="42" width="8.7109375" customWidth="1"/>
  </cols>
  <sheetData>
    <row r="1" spans="1:42" ht="12.75" customHeight="1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  <c r="AI1" s="28"/>
      <c r="AJ1" s="28"/>
      <c r="AK1" s="28"/>
      <c r="AL1" s="28"/>
      <c r="AM1" s="2"/>
      <c r="AN1" s="1"/>
      <c r="AO1" s="1"/>
      <c r="AP1" s="1"/>
    </row>
    <row r="2" spans="1:42" ht="12.75" customHeight="1" x14ac:dyDescent="0.25">
      <c r="A2" s="29" t="s">
        <v>1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4"/>
      <c r="AN2" s="3"/>
      <c r="AO2" s="3"/>
      <c r="AP2" s="3"/>
    </row>
    <row r="3" spans="1:42" ht="12.75" customHeight="1" x14ac:dyDescent="0.25">
      <c r="A3" s="5"/>
      <c r="E3" s="6"/>
      <c r="F3" s="7"/>
      <c r="AM3" s="8"/>
    </row>
    <row r="4" spans="1:42" ht="12.75" customHeight="1" x14ac:dyDescent="0.25">
      <c r="A4" s="9" t="s">
        <v>2</v>
      </c>
      <c r="B4" s="9" t="s">
        <v>3</v>
      </c>
      <c r="C4" s="9" t="s">
        <v>4</v>
      </c>
      <c r="D4" s="9" t="s">
        <v>5</v>
      </c>
      <c r="E4" s="10" t="s">
        <v>6</v>
      </c>
      <c r="F4" s="10"/>
      <c r="G4" s="30" t="s">
        <v>7</v>
      </c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2"/>
      <c r="AM4" s="11"/>
      <c r="AN4" s="12"/>
      <c r="AO4" s="12"/>
      <c r="AP4" s="12"/>
    </row>
    <row r="5" spans="1:42" ht="12.75" customHeight="1" x14ac:dyDescent="0.25">
      <c r="A5" s="13" t="s">
        <v>8</v>
      </c>
      <c r="B5" s="13" t="s">
        <v>9</v>
      </c>
      <c r="C5" s="13"/>
      <c r="D5" s="13"/>
      <c r="E5" s="14"/>
      <c r="F5" s="14" t="s">
        <v>10</v>
      </c>
      <c r="G5" s="13">
        <v>1</v>
      </c>
      <c r="H5" s="13">
        <v>2</v>
      </c>
      <c r="I5" s="13">
        <v>3</v>
      </c>
      <c r="J5" s="13">
        <v>4</v>
      </c>
      <c r="K5" s="13">
        <v>5</v>
      </c>
      <c r="L5" s="13">
        <v>6</v>
      </c>
      <c r="M5" s="13">
        <v>7</v>
      </c>
      <c r="N5" s="13">
        <v>8</v>
      </c>
      <c r="O5" s="13">
        <v>9</v>
      </c>
      <c r="P5" s="13">
        <v>10</v>
      </c>
      <c r="Q5" s="13">
        <v>11</v>
      </c>
      <c r="R5" s="13">
        <v>12</v>
      </c>
      <c r="S5" s="13">
        <v>13</v>
      </c>
      <c r="T5" s="13">
        <v>14</v>
      </c>
      <c r="U5" s="13">
        <v>15</v>
      </c>
      <c r="V5" s="13">
        <v>16</v>
      </c>
      <c r="W5" s="13">
        <v>17</v>
      </c>
      <c r="X5" s="13">
        <v>18</v>
      </c>
      <c r="Y5" s="13">
        <v>19</v>
      </c>
      <c r="Z5" s="13">
        <v>20</v>
      </c>
      <c r="AA5" s="13">
        <v>21</v>
      </c>
      <c r="AB5" s="13">
        <v>22</v>
      </c>
      <c r="AC5" s="13">
        <v>23</v>
      </c>
      <c r="AD5" s="13">
        <v>24</v>
      </c>
      <c r="AE5" s="13">
        <v>25</v>
      </c>
      <c r="AF5" s="13">
        <v>26</v>
      </c>
      <c r="AG5" s="13">
        <v>27</v>
      </c>
      <c r="AH5" s="13">
        <v>28</v>
      </c>
      <c r="AI5" s="13">
        <v>29</v>
      </c>
      <c r="AJ5" s="13">
        <v>30</v>
      </c>
      <c r="AK5" s="13">
        <v>31</v>
      </c>
      <c r="AL5" s="13" t="s">
        <v>11</v>
      </c>
      <c r="AM5" s="15" t="s">
        <v>12</v>
      </c>
      <c r="AN5" s="16"/>
      <c r="AO5" s="16"/>
      <c r="AP5" s="16"/>
    </row>
    <row r="6" spans="1:42" ht="12.75" customHeight="1" x14ac:dyDescent="0.25">
      <c r="A6" s="17">
        <v>1</v>
      </c>
      <c r="B6" s="18" t="s">
        <v>13</v>
      </c>
      <c r="C6" s="18">
        <v>16</v>
      </c>
      <c r="D6" s="18" t="s">
        <v>14</v>
      </c>
      <c r="E6" s="19">
        <v>63208.974111791453</v>
      </c>
      <c r="F6" s="20" t="s">
        <v>15</v>
      </c>
      <c r="G6" s="21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>
        <f t="shared" ref="AL6:AL170" si="0">SUM(G6:AK6)</f>
        <v>0</v>
      </c>
      <c r="AM6" s="22">
        <f t="shared" ref="AM6:AM170" si="1">AL6*E6</f>
        <v>0</v>
      </c>
      <c r="AN6" s="23"/>
      <c r="AO6" s="23"/>
      <c r="AP6" s="23"/>
    </row>
    <row r="7" spans="1:42" ht="12.75" customHeight="1" x14ac:dyDescent="0.25">
      <c r="A7" s="17"/>
      <c r="B7" s="18"/>
      <c r="C7" s="18">
        <v>16</v>
      </c>
      <c r="D7" s="18" t="s">
        <v>16</v>
      </c>
      <c r="E7" s="19">
        <v>79011.21763973932</v>
      </c>
      <c r="F7" s="20" t="s">
        <v>15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>
        <f t="shared" si="0"/>
        <v>0</v>
      </c>
      <c r="AM7" s="22">
        <f t="shared" si="1"/>
        <v>0</v>
      </c>
      <c r="AN7" s="23"/>
      <c r="AO7" s="23"/>
      <c r="AP7" s="23"/>
    </row>
    <row r="8" spans="1:42" ht="12.75" customHeight="1" x14ac:dyDescent="0.25">
      <c r="A8" s="17"/>
      <c r="B8" s="18"/>
      <c r="C8" s="18">
        <v>16</v>
      </c>
      <c r="D8" s="18" t="s">
        <v>17</v>
      </c>
      <c r="E8" s="19">
        <v>90298.534445416371</v>
      </c>
      <c r="F8" s="20" t="s">
        <v>15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>
        <f t="shared" si="0"/>
        <v>0</v>
      </c>
      <c r="AM8" s="22">
        <f t="shared" si="1"/>
        <v>0</v>
      </c>
      <c r="AN8" s="23"/>
      <c r="AO8" s="23"/>
      <c r="AP8" s="23"/>
    </row>
    <row r="9" spans="1:42" ht="12.75" customHeight="1" x14ac:dyDescent="0.25">
      <c r="A9" s="17"/>
      <c r="B9" s="18"/>
      <c r="C9" s="18">
        <v>16</v>
      </c>
      <c r="D9" s="18" t="s">
        <v>18</v>
      </c>
      <c r="E9" s="19">
        <v>105348.29018631909</v>
      </c>
      <c r="F9" s="20" t="s">
        <v>15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>
        <f t="shared" si="0"/>
        <v>0</v>
      </c>
      <c r="AM9" s="22">
        <f t="shared" si="1"/>
        <v>0</v>
      </c>
      <c r="AN9" s="23"/>
      <c r="AO9" s="23"/>
      <c r="AP9" s="23"/>
    </row>
    <row r="10" spans="1:42" ht="12.75" customHeight="1" x14ac:dyDescent="0.25">
      <c r="A10" s="17"/>
      <c r="B10" s="18"/>
      <c r="C10" s="18">
        <v>16</v>
      </c>
      <c r="D10" s="18" t="s">
        <v>19</v>
      </c>
      <c r="E10" s="19">
        <v>126417.94822358291</v>
      </c>
      <c r="F10" s="20" t="s">
        <v>15</v>
      </c>
      <c r="G10" s="18"/>
      <c r="H10" s="18"/>
      <c r="I10" s="18"/>
      <c r="J10" s="21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>
        <f t="shared" si="0"/>
        <v>0</v>
      </c>
      <c r="AM10" s="22">
        <f t="shared" si="1"/>
        <v>0</v>
      </c>
      <c r="AN10" s="23"/>
      <c r="AO10" s="23"/>
      <c r="AP10" s="23"/>
    </row>
    <row r="11" spans="1:42" ht="12.75" customHeight="1" x14ac:dyDescent="0.25">
      <c r="A11" s="17"/>
      <c r="B11" s="18"/>
      <c r="C11" s="18">
        <v>16</v>
      </c>
      <c r="D11" s="18" t="s">
        <v>20</v>
      </c>
      <c r="E11" s="19">
        <v>140464.38691509212</v>
      </c>
      <c r="F11" s="20" t="s">
        <v>15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>
        <f t="shared" si="0"/>
        <v>0</v>
      </c>
      <c r="AM11" s="22">
        <f t="shared" si="1"/>
        <v>0</v>
      </c>
      <c r="AN11" s="23"/>
      <c r="AO11" s="23"/>
      <c r="AP11" s="23"/>
    </row>
    <row r="12" spans="1:42" ht="12.75" customHeight="1" x14ac:dyDescent="0.25">
      <c r="A12" s="17">
        <v>2</v>
      </c>
      <c r="B12" s="18" t="s">
        <v>21</v>
      </c>
      <c r="C12" s="18">
        <v>16</v>
      </c>
      <c r="D12" s="18" t="s">
        <v>14</v>
      </c>
      <c r="E12" s="19">
        <v>84415.771312439116</v>
      </c>
      <c r="F12" s="20" t="s">
        <v>15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>
        <f t="shared" si="0"/>
        <v>0</v>
      </c>
      <c r="AM12" s="22">
        <f t="shared" si="1"/>
        <v>0</v>
      </c>
      <c r="AN12" s="23"/>
      <c r="AO12" s="23"/>
      <c r="AP12" s="23"/>
    </row>
    <row r="13" spans="1:42" ht="12.75" customHeight="1" x14ac:dyDescent="0.25">
      <c r="A13" s="17"/>
      <c r="B13" s="18"/>
      <c r="C13" s="18">
        <v>16</v>
      </c>
      <c r="D13" s="18" t="s">
        <v>16</v>
      </c>
      <c r="E13" s="19">
        <v>115112.41542605334</v>
      </c>
      <c r="F13" s="20" t="s">
        <v>15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>
        <f t="shared" si="0"/>
        <v>0</v>
      </c>
      <c r="AM13" s="22">
        <f t="shared" si="1"/>
        <v>0</v>
      </c>
      <c r="AN13" s="23"/>
      <c r="AO13" s="23"/>
      <c r="AP13" s="23"/>
    </row>
    <row r="14" spans="1:42" ht="12.75" customHeight="1" x14ac:dyDescent="0.25">
      <c r="A14" s="17"/>
      <c r="B14" s="18"/>
      <c r="C14" s="18">
        <v>16</v>
      </c>
      <c r="D14" s="18" t="s">
        <v>17</v>
      </c>
      <c r="E14" s="19">
        <v>158279.57121082334</v>
      </c>
      <c r="F14" s="20" t="s">
        <v>15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>
        <f t="shared" si="0"/>
        <v>0</v>
      </c>
      <c r="AM14" s="22">
        <f t="shared" si="1"/>
        <v>0</v>
      </c>
      <c r="AN14" s="23"/>
      <c r="AO14" s="23"/>
      <c r="AP14" s="23"/>
    </row>
    <row r="15" spans="1:42" ht="12.75" customHeight="1" x14ac:dyDescent="0.25">
      <c r="A15" s="17"/>
      <c r="B15" s="18"/>
      <c r="C15" s="18">
        <v>16</v>
      </c>
      <c r="D15" s="18" t="s">
        <v>18</v>
      </c>
      <c r="E15" s="19">
        <v>180890.93852665526</v>
      </c>
      <c r="F15" s="20" t="s">
        <v>15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>
        <f t="shared" si="0"/>
        <v>0</v>
      </c>
      <c r="AM15" s="22">
        <f t="shared" si="1"/>
        <v>0</v>
      </c>
      <c r="AN15" s="23"/>
      <c r="AO15" s="23"/>
      <c r="AP15" s="23"/>
    </row>
    <row r="16" spans="1:42" ht="12.75" customHeight="1" x14ac:dyDescent="0.25">
      <c r="A16" s="17"/>
      <c r="B16" s="18"/>
      <c r="C16" s="18">
        <v>16</v>
      </c>
      <c r="D16" s="18" t="s">
        <v>19</v>
      </c>
      <c r="E16" s="19">
        <v>211039.42828109779</v>
      </c>
      <c r="F16" s="20" t="s">
        <v>15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>
        <f t="shared" si="0"/>
        <v>0</v>
      </c>
      <c r="AM16" s="22">
        <f t="shared" si="1"/>
        <v>0</v>
      </c>
      <c r="AN16" s="23"/>
      <c r="AO16" s="23"/>
      <c r="AP16" s="23"/>
    </row>
    <row r="17" spans="1:42" ht="12.75" customHeight="1" x14ac:dyDescent="0.25">
      <c r="A17" s="17"/>
      <c r="B17" s="18"/>
      <c r="C17" s="18">
        <v>16</v>
      </c>
      <c r="D17" s="18" t="s">
        <v>20</v>
      </c>
      <c r="E17" s="19">
        <v>253247.31393731735</v>
      </c>
      <c r="F17" s="20" t="s">
        <v>15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>
        <f t="shared" si="0"/>
        <v>0</v>
      </c>
      <c r="AM17" s="22">
        <f t="shared" si="1"/>
        <v>0</v>
      </c>
      <c r="AN17" s="23"/>
      <c r="AO17" s="23"/>
      <c r="AP17" s="23"/>
    </row>
    <row r="18" spans="1:42" ht="12.75" customHeight="1" x14ac:dyDescent="0.25">
      <c r="A18" s="17">
        <v>3</v>
      </c>
      <c r="B18" s="18" t="s">
        <v>22</v>
      </c>
      <c r="C18" s="18">
        <v>16</v>
      </c>
      <c r="D18" s="18" t="s">
        <v>23</v>
      </c>
      <c r="E18" s="19">
        <v>105455.56288318358</v>
      </c>
      <c r="F18" s="20" t="s">
        <v>15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>
        <f t="shared" si="0"/>
        <v>0</v>
      </c>
      <c r="AM18" s="22">
        <f t="shared" si="1"/>
        <v>0</v>
      </c>
      <c r="AN18" s="23"/>
      <c r="AO18" s="23"/>
      <c r="AP18" s="23"/>
    </row>
    <row r="19" spans="1:42" ht="12.75" customHeight="1" x14ac:dyDescent="0.25">
      <c r="A19" s="17"/>
      <c r="B19" s="18"/>
      <c r="C19" s="18">
        <v>16</v>
      </c>
      <c r="D19" s="18" t="s">
        <v>24</v>
      </c>
      <c r="E19" s="19">
        <v>158183.34432477536</v>
      </c>
      <c r="F19" s="20" t="s">
        <v>15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>
        <f t="shared" si="0"/>
        <v>0</v>
      </c>
      <c r="AM19" s="22">
        <f t="shared" si="1"/>
        <v>0</v>
      </c>
      <c r="AN19" s="23"/>
      <c r="AO19" s="23"/>
      <c r="AP19" s="23"/>
    </row>
    <row r="20" spans="1:42" ht="12.75" customHeight="1" x14ac:dyDescent="0.25">
      <c r="A20" s="17"/>
      <c r="B20" s="18"/>
      <c r="C20" s="18">
        <v>16</v>
      </c>
      <c r="D20" s="18" t="s">
        <v>25</v>
      </c>
      <c r="E20" s="19">
        <v>210911.12576636716</v>
      </c>
      <c r="F20" s="20" t="s">
        <v>15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>
        <f t="shared" si="0"/>
        <v>0</v>
      </c>
      <c r="AM20" s="22">
        <f t="shared" si="1"/>
        <v>0</v>
      </c>
      <c r="AN20" s="23"/>
      <c r="AO20" s="23"/>
      <c r="AP20" s="23"/>
    </row>
    <row r="21" spans="1:42" ht="12.75" customHeight="1" x14ac:dyDescent="0.25">
      <c r="A21" s="17">
        <v>4</v>
      </c>
      <c r="B21" s="18" t="s">
        <v>26</v>
      </c>
      <c r="C21" s="18">
        <v>16</v>
      </c>
      <c r="D21" s="18" t="s">
        <v>27</v>
      </c>
      <c r="E21" s="19">
        <v>63293.359292410154</v>
      </c>
      <c r="F21" s="20" t="s">
        <v>15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>
        <f t="shared" si="0"/>
        <v>0</v>
      </c>
      <c r="AM21" s="22">
        <f t="shared" si="1"/>
        <v>0</v>
      </c>
      <c r="AN21" s="23"/>
      <c r="AO21" s="23"/>
      <c r="AP21" s="23"/>
    </row>
    <row r="22" spans="1:42" ht="12.75" customHeight="1" x14ac:dyDescent="0.25">
      <c r="A22" s="17"/>
      <c r="B22" s="18"/>
      <c r="C22" s="18">
        <v>16</v>
      </c>
      <c r="D22" s="18" t="s">
        <v>28</v>
      </c>
      <c r="E22" s="19">
        <v>79116.699115512689</v>
      </c>
      <c r="F22" s="20" t="s">
        <v>15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>
        <f t="shared" si="0"/>
        <v>0</v>
      </c>
      <c r="AM22" s="22">
        <f t="shared" si="1"/>
        <v>0</v>
      </c>
      <c r="AN22" s="23"/>
      <c r="AO22" s="23"/>
      <c r="AP22" s="23"/>
    </row>
    <row r="23" spans="1:42" ht="12.75" customHeight="1" x14ac:dyDescent="0.25">
      <c r="A23" s="17"/>
      <c r="B23" s="18"/>
      <c r="C23" s="18">
        <v>16</v>
      </c>
      <c r="D23" s="18" t="s">
        <v>29</v>
      </c>
      <c r="E23" s="19">
        <v>90419.084703443077</v>
      </c>
      <c r="F23" s="20" t="s">
        <v>15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>
        <f t="shared" si="0"/>
        <v>0</v>
      </c>
      <c r="AM23" s="22">
        <f t="shared" si="1"/>
        <v>0</v>
      </c>
      <c r="AN23" s="23"/>
      <c r="AO23" s="23"/>
      <c r="AP23" s="23"/>
    </row>
    <row r="24" spans="1:42" ht="12.75" customHeight="1" x14ac:dyDescent="0.25">
      <c r="A24" s="17"/>
      <c r="B24" s="18"/>
      <c r="C24" s="18">
        <v>16</v>
      </c>
      <c r="D24" s="18" t="s">
        <v>30</v>
      </c>
      <c r="E24" s="19">
        <v>105488.93215401692</v>
      </c>
      <c r="F24" s="20" t="s">
        <v>15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>
        <f t="shared" si="0"/>
        <v>0</v>
      </c>
      <c r="AM24" s="22">
        <f t="shared" si="1"/>
        <v>0</v>
      </c>
      <c r="AN24" s="23"/>
      <c r="AO24" s="23"/>
      <c r="AP24" s="23"/>
    </row>
    <row r="25" spans="1:42" ht="12.75" customHeight="1" x14ac:dyDescent="0.25">
      <c r="A25" s="17"/>
      <c r="B25" s="18"/>
      <c r="C25" s="18">
        <v>16</v>
      </c>
      <c r="D25" s="18" t="s">
        <v>31</v>
      </c>
      <c r="E25" s="19">
        <v>126586.71858482031</v>
      </c>
      <c r="F25" s="20" t="s">
        <v>15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>
        <f t="shared" si="0"/>
        <v>0</v>
      </c>
      <c r="AM25" s="22">
        <f t="shared" si="1"/>
        <v>0</v>
      </c>
      <c r="AN25" s="23"/>
      <c r="AO25" s="23"/>
      <c r="AP25" s="23"/>
    </row>
    <row r="26" spans="1:42" ht="12.75" customHeight="1" x14ac:dyDescent="0.25">
      <c r="A26" s="17"/>
      <c r="B26" s="18"/>
      <c r="C26" s="18">
        <v>16</v>
      </c>
      <c r="D26" s="18" t="s">
        <v>32</v>
      </c>
      <c r="E26" s="19">
        <v>140651.90953868921</v>
      </c>
      <c r="F26" s="20" t="s">
        <v>15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>
        <f t="shared" si="0"/>
        <v>0</v>
      </c>
      <c r="AM26" s="22">
        <f t="shared" si="1"/>
        <v>0</v>
      </c>
      <c r="AN26" s="23"/>
      <c r="AO26" s="23"/>
      <c r="AP26" s="23"/>
    </row>
    <row r="27" spans="1:42" ht="12.75" customHeight="1" x14ac:dyDescent="0.25">
      <c r="A27" s="17">
        <v>5</v>
      </c>
      <c r="B27" s="18" t="s">
        <v>33</v>
      </c>
      <c r="C27" s="18">
        <v>16</v>
      </c>
      <c r="D27" s="18" t="s">
        <v>27</v>
      </c>
      <c r="E27" s="19">
        <v>79237.654406705871</v>
      </c>
      <c r="F27" s="20" t="s">
        <v>15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>
        <f t="shared" si="0"/>
        <v>0</v>
      </c>
      <c r="AM27" s="22">
        <f t="shared" si="1"/>
        <v>0</v>
      </c>
      <c r="AN27" s="23"/>
      <c r="AO27" s="23"/>
      <c r="AP27" s="23"/>
    </row>
    <row r="28" spans="1:42" ht="12.75" customHeight="1" x14ac:dyDescent="0.25">
      <c r="A28" s="17"/>
      <c r="B28" s="18"/>
      <c r="C28" s="18">
        <v>16</v>
      </c>
      <c r="D28" s="18" t="s">
        <v>28</v>
      </c>
      <c r="E28" s="19">
        <v>105650.20587560783</v>
      </c>
      <c r="F28" s="20" t="s">
        <v>15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>
        <f t="shared" si="0"/>
        <v>0</v>
      </c>
      <c r="AM28" s="22">
        <f t="shared" si="1"/>
        <v>0</v>
      </c>
      <c r="AN28" s="23"/>
      <c r="AO28" s="23"/>
      <c r="AP28" s="23"/>
    </row>
    <row r="29" spans="1:42" ht="12.75" customHeight="1" x14ac:dyDescent="0.25">
      <c r="A29" s="17"/>
      <c r="B29" s="18"/>
      <c r="C29" s="18">
        <v>16</v>
      </c>
      <c r="D29" s="18" t="s">
        <v>29</v>
      </c>
      <c r="E29" s="19">
        <v>140866.94116747711</v>
      </c>
      <c r="F29" s="20" t="s">
        <v>15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>
        <f t="shared" si="0"/>
        <v>0</v>
      </c>
      <c r="AM29" s="22">
        <f t="shared" si="1"/>
        <v>0</v>
      </c>
      <c r="AN29" s="23"/>
      <c r="AO29" s="23"/>
      <c r="AP29" s="23"/>
    </row>
    <row r="30" spans="1:42" ht="12.75" customHeight="1" x14ac:dyDescent="0.25">
      <c r="A30" s="17"/>
      <c r="B30" s="18"/>
      <c r="C30" s="18">
        <v>16</v>
      </c>
      <c r="D30" s="18" t="s">
        <v>30</v>
      </c>
      <c r="E30" s="19">
        <v>158475.30881341174</v>
      </c>
      <c r="F30" s="20" t="s">
        <v>15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>
        <f t="shared" si="0"/>
        <v>0</v>
      </c>
      <c r="AM30" s="22">
        <f t="shared" si="1"/>
        <v>0</v>
      </c>
      <c r="AN30" s="23"/>
      <c r="AO30" s="23"/>
      <c r="AP30" s="23"/>
    </row>
    <row r="31" spans="1:42" ht="12.75" customHeight="1" x14ac:dyDescent="0.25">
      <c r="A31" s="17"/>
      <c r="B31" s="18"/>
      <c r="C31" s="18">
        <v>16</v>
      </c>
      <c r="D31" s="18" t="s">
        <v>31</v>
      </c>
      <c r="E31" s="19">
        <v>211300.41175121567</v>
      </c>
      <c r="F31" s="20" t="s">
        <v>15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>
        <f t="shared" si="0"/>
        <v>0</v>
      </c>
      <c r="AM31" s="22">
        <f t="shared" si="1"/>
        <v>0</v>
      </c>
      <c r="AN31" s="23"/>
      <c r="AO31" s="23"/>
      <c r="AP31" s="23"/>
    </row>
    <row r="32" spans="1:42" ht="12.75" customHeight="1" x14ac:dyDescent="0.25">
      <c r="A32" s="17"/>
      <c r="B32" s="18"/>
      <c r="C32" s="18">
        <v>16</v>
      </c>
      <c r="D32" s="18" t="s">
        <v>32</v>
      </c>
      <c r="E32" s="19">
        <v>211300.41175121567</v>
      </c>
      <c r="F32" s="20" t="s">
        <v>15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>
        <f t="shared" si="0"/>
        <v>0</v>
      </c>
      <c r="AM32" s="22">
        <f t="shared" si="1"/>
        <v>0</v>
      </c>
      <c r="AN32" s="23"/>
      <c r="AO32" s="23"/>
      <c r="AP32" s="23"/>
    </row>
    <row r="33" spans="1:42" ht="12.75" customHeight="1" x14ac:dyDescent="0.25">
      <c r="A33" s="17">
        <v>6</v>
      </c>
      <c r="B33" s="18" t="s">
        <v>34</v>
      </c>
      <c r="C33" s="18">
        <v>16</v>
      </c>
      <c r="D33" s="18" t="s">
        <v>35</v>
      </c>
      <c r="E33" s="19">
        <v>100757.90244668315</v>
      </c>
      <c r="F33" s="20" t="s">
        <v>15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>
        <f t="shared" si="0"/>
        <v>0</v>
      </c>
      <c r="AM33" s="22">
        <f t="shared" si="1"/>
        <v>0</v>
      </c>
      <c r="AN33" s="23"/>
      <c r="AO33" s="23"/>
      <c r="AP33" s="23"/>
    </row>
    <row r="34" spans="1:42" ht="12.75" customHeight="1" x14ac:dyDescent="0.25">
      <c r="A34" s="17">
        <v>7</v>
      </c>
      <c r="B34" s="18" t="s">
        <v>36</v>
      </c>
      <c r="C34" s="18">
        <v>16</v>
      </c>
      <c r="D34" s="18" t="s">
        <v>37</v>
      </c>
      <c r="E34" s="19">
        <v>90324.919005300937</v>
      </c>
      <c r="F34" s="20" t="s">
        <v>15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>
        <f t="shared" si="0"/>
        <v>0</v>
      </c>
      <c r="AM34" s="22">
        <f t="shared" si="1"/>
        <v>0</v>
      </c>
      <c r="AN34" s="23"/>
      <c r="AO34" s="23"/>
      <c r="AP34" s="23"/>
    </row>
    <row r="35" spans="1:42" ht="12.75" customHeight="1" x14ac:dyDescent="0.25">
      <c r="A35" s="17"/>
      <c r="B35" s="18"/>
      <c r="C35" s="18">
        <v>16</v>
      </c>
      <c r="D35" s="18" t="s">
        <v>38</v>
      </c>
      <c r="E35" s="19">
        <v>140505.42956380144</v>
      </c>
      <c r="F35" s="20" t="s">
        <v>15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>
        <f t="shared" si="0"/>
        <v>0</v>
      </c>
      <c r="AM35" s="22">
        <f t="shared" si="1"/>
        <v>0</v>
      </c>
      <c r="AN35" s="23"/>
      <c r="AO35" s="23"/>
      <c r="AP35" s="23"/>
    </row>
    <row r="36" spans="1:42" ht="12.75" customHeight="1" x14ac:dyDescent="0.25">
      <c r="A36" s="17">
        <v>8</v>
      </c>
      <c r="B36" s="18" t="s">
        <v>39</v>
      </c>
      <c r="C36" s="18">
        <v>16</v>
      </c>
      <c r="D36" s="18" t="s">
        <v>37</v>
      </c>
      <c r="E36" s="19">
        <v>140692.95218739854</v>
      </c>
      <c r="F36" s="20" t="s">
        <v>15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>
        <f t="shared" si="0"/>
        <v>0</v>
      </c>
      <c r="AM36" s="22">
        <f t="shared" si="1"/>
        <v>0</v>
      </c>
      <c r="AN36" s="23"/>
      <c r="AO36" s="23"/>
      <c r="AP36" s="23"/>
    </row>
    <row r="37" spans="1:42" ht="12.75" customHeight="1" x14ac:dyDescent="0.25">
      <c r="A37" s="17"/>
      <c r="B37" s="18"/>
      <c r="C37" s="18">
        <v>16</v>
      </c>
      <c r="D37" s="18" t="s">
        <v>38</v>
      </c>
      <c r="E37" s="19">
        <v>211039.42828109779</v>
      </c>
      <c r="F37" s="20" t="s">
        <v>15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>
        <f t="shared" si="0"/>
        <v>0</v>
      </c>
      <c r="AM37" s="22">
        <f t="shared" si="1"/>
        <v>0</v>
      </c>
      <c r="AN37" s="23"/>
      <c r="AO37" s="23"/>
      <c r="AP37" s="23"/>
    </row>
    <row r="38" spans="1:42" ht="12.75" customHeight="1" x14ac:dyDescent="0.25">
      <c r="A38" s="17">
        <v>9</v>
      </c>
      <c r="B38" s="18" t="s">
        <v>40</v>
      </c>
      <c r="C38" s="18">
        <v>16</v>
      </c>
      <c r="D38" s="18" t="s">
        <v>41</v>
      </c>
      <c r="E38" s="19">
        <v>70232.193457546062</v>
      </c>
      <c r="F38" s="20" t="s">
        <v>15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>
        <f t="shared" si="0"/>
        <v>0</v>
      </c>
      <c r="AM38" s="22">
        <f t="shared" si="1"/>
        <v>0</v>
      </c>
      <c r="AN38" s="23"/>
      <c r="AO38" s="23"/>
      <c r="AP38" s="23"/>
    </row>
    <row r="39" spans="1:42" ht="12.75" customHeight="1" x14ac:dyDescent="0.25">
      <c r="A39" s="17"/>
      <c r="B39" s="18"/>
      <c r="C39" s="18">
        <v>16</v>
      </c>
      <c r="D39" s="18" t="s">
        <v>42</v>
      </c>
      <c r="E39" s="19">
        <v>79011.21763973932</v>
      </c>
      <c r="F39" s="20" t="s">
        <v>15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>
        <f t="shared" si="0"/>
        <v>0</v>
      </c>
      <c r="AM39" s="22">
        <f t="shared" si="1"/>
        <v>0</v>
      </c>
      <c r="AN39" s="23"/>
      <c r="AO39" s="23"/>
      <c r="AP39" s="23"/>
    </row>
    <row r="40" spans="1:42" ht="12.75" customHeight="1" x14ac:dyDescent="0.25">
      <c r="A40" s="17"/>
      <c r="B40" s="18"/>
      <c r="C40" s="18">
        <v>16</v>
      </c>
      <c r="D40" s="18" t="s">
        <v>43</v>
      </c>
      <c r="E40" s="19">
        <v>90298.534445416371</v>
      </c>
      <c r="F40" s="20" t="s">
        <v>15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>
        <f t="shared" si="0"/>
        <v>0</v>
      </c>
      <c r="AM40" s="22">
        <f t="shared" si="1"/>
        <v>0</v>
      </c>
      <c r="AN40" s="23"/>
      <c r="AO40" s="23"/>
      <c r="AP40" s="23"/>
    </row>
    <row r="41" spans="1:42" ht="12.75" customHeight="1" x14ac:dyDescent="0.25">
      <c r="A41" s="17">
        <v>10</v>
      </c>
      <c r="B41" s="18" t="s">
        <v>44</v>
      </c>
      <c r="C41" s="18">
        <v>16</v>
      </c>
      <c r="D41" s="18" t="s">
        <v>45</v>
      </c>
      <c r="E41" s="19">
        <v>70264.700381718343</v>
      </c>
      <c r="F41" s="20" t="s">
        <v>15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>
        <f t="shared" si="0"/>
        <v>0</v>
      </c>
      <c r="AM41" s="22">
        <f t="shared" si="1"/>
        <v>0</v>
      </c>
      <c r="AN41" s="23"/>
      <c r="AO41" s="23"/>
      <c r="AP41" s="23"/>
    </row>
    <row r="42" spans="1:42" ht="12.75" customHeight="1" x14ac:dyDescent="0.25">
      <c r="A42" s="17"/>
      <c r="B42" s="18"/>
      <c r="C42" s="18">
        <v>16</v>
      </c>
      <c r="D42" s="18" t="s">
        <v>46</v>
      </c>
      <c r="E42" s="19">
        <v>97289.585143917706</v>
      </c>
      <c r="F42" s="20" t="s">
        <v>15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>
        <f t="shared" si="0"/>
        <v>0</v>
      </c>
      <c r="AM42" s="22">
        <f t="shared" si="1"/>
        <v>0</v>
      </c>
      <c r="AN42" s="23"/>
      <c r="AO42" s="23"/>
      <c r="AP42" s="23"/>
    </row>
    <row r="43" spans="1:42" ht="12.75" customHeight="1" x14ac:dyDescent="0.25">
      <c r="A43" s="17"/>
      <c r="B43" s="18"/>
      <c r="C43" s="18">
        <v>16</v>
      </c>
      <c r="D43" s="18" t="s">
        <v>47</v>
      </c>
      <c r="E43" s="19">
        <v>114978.60062463001</v>
      </c>
      <c r="F43" s="20" t="s">
        <v>15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>
        <f t="shared" si="0"/>
        <v>0</v>
      </c>
      <c r="AM43" s="22">
        <f t="shared" si="1"/>
        <v>0</v>
      </c>
      <c r="AN43" s="23"/>
      <c r="AO43" s="23"/>
      <c r="AP43" s="23"/>
    </row>
    <row r="44" spans="1:42" ht="12.75" customHeight="1" x14ac:dyDescent="0.25">
      <c r="A44" s="17">
        <v>11</v>
      </c>
      <c r="B44" s="18" t="s">
        <v>48</v>
      </c>
      <c r="C44" s="18">
        <v>16</v>
      </c>
      <c r="D44" s="18" t="s">
        <v>49</v>
      </c>
      <c r="E44" s="19">
        <v>70264.700381718343</v>
      </c>
      <c r="F44" s="20" t="s">
        <v>15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>
        <f t="shared" si="0"/>
        <v>0</v>
      </c>
      <c r="AM44" s="22">
        <f t="shared" si="1"/>
        <v>0</v>
      </c>
      <c r="AN44" s="23"/>
      <c r="AO44" s="23"/>
      <c r="AP44" s="23"/>
    </row>
    <row r="45" spans="1:42" ht="12.75" customHeight="1" x14ac:dyDescent="0.25">
      <c r="A45" s="17"/>
      <c r="B45" s="18"/>
      <c r="C45" s="18">
        <v>16</v>
      </c>
      <c r="D45" s="18" t="s">
        <v>50</v>
      </c>
      <c r="E45" s="19">
        <v>97289.585143917706</v>
      </c>
      <c r="F45" s="20" t="s">
        <v>15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>
        <f t="shared" si="0"/>
        <v>0</v>
      </c>
      <c r="AM45" s="22">
        <f t="shared" si="1"/>
        <v>0</v>
      </c>
      <c r="AN45" s="23"/>
      <c r="AO45" s="23"/>
      <c r="AP45" s="23"/>
    </row>
    <row r="46" spans="1:42" ht="12.75" customHeight="1" x14ac:dyDescent="0.25">
      <c r="A46" s="17"/>
      <c r="B46" s="18"/>
      <c r="C46" s="18">
        <v>16</v>
      </c>
      <c r="D46" s="18" t="s">
        <v>51</v>
      </c>
      <c r="E46" s="19">
        <v>114978.60062463001</v>
      </c>
      <c r="F46" s="20" t="s">
        <v>15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>
        <f t="shared" si="0"/>
        <v>0</v>
      </c>
      <c r="AM46" s="22">
        <f t="shared" si="1"/>
        <v>0</v>
      </c>
      <c r="AN46" s="23"/>
      <c r="AO46" s="23"/>
      <c r="AP46" s="23"/>
    </row>
    <row r="47" spans="1:42" ht="12.75" customHeight="1" x14ac:dyDescent="0.25">
      <c r="A47" s="17">
        <v>12</v>
      </c>
      <c r="B47" s="18" t="s">
        <v>52</v>
      </c>
      <c r="C47" s="18">
        <v>16</v>
      </c>
      <c r="D47" s="18" t="s">
        <v>53</v>
      </c>
      <c r="E47" s="19">
        <v>79093.413604149042</v>
      </c>
      <c r="F47" s="20" t="s">
        <v>15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>
        <f t="shared" si="0"/>
        <v>0</v>
      </c>
      <c r="AM47" s="22">
        <f t="shared" si="1"/>
        <v>0</v>
      </c>
      <c r="AN47" s="23"/>
      <c r="AO47" s="23"/>
      <c r="AP47" s="23"/>
    </row>
    <row r="48" spans="1:42" ht="12.75" customHeight="1" x14ac:dyDescent="0.25">
      <c r="A48" s="17">
        <v>13</v>
      </c>
      <c r="B48" s="18" t="s">
        <v>54</v>
      </c>
      <c r="C48" s="18">
        <v>16</v>
      </c>
      <c r="D48" s="18" t="s">
        <v>53</v>
      </c>
      <c r="E48" s="19">
        <v>42986.332131731455</v>
      </c>
      <c r="F48" s="20" t="s">
        <v>15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>
        <f t="shared" si="0"/>
        <v>0</v>
      </c>
      <c r="AM48" s="22">
        <f t="shared" si="1"/>
        <v>0</v>
      </c>
      <c r="AN48" s="23"/>
      <c r="AO48" s="23"/>
      <c r="AP48" s="23"/>
    </row>
    <row r="49" spans="1:42" ht="12.75" customHeight="1" x14ac:dyDescent="0.25">
      <c r="A49" s="17">
        <v>14</v>
      </c>
      <c r="B49" s="18" t="s">
        <v>55</v>
      </c>
      <c r="C49" s="18">
        <v>16</v>
      </c>
      <c r="D49" s="18" t="s">
        <v>56</v>
      </c>
      <c r="E49" s="19">
        <v>45088.532414446228</v>
      </c>
      <c r="F49" s="20" t="s">
        <v>15</v>
      </c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>
        <f t="shared" si="0"/>
        <v>0</v>
      </c>
      <c r="AM49" s="22">
        <f t="shared" si="1"/>
        <v>0</v>
      </c>
      <c r="AN49" s="23"/>
      <c r="AO49" s="23"/>
      <c r="AP49" s="23"/>
    </row>
    <row r="50" spans="1:42" ht="12.75" customHeight="1" x14ac:dyDescent="0.25">
      <c r="A50" s="17"/>
      <c r="B50" s="18"/>
      <c r="C50" s="18"/>
      <c r="D50" s="18"/>
      <c r="E50" s="19"/>
      <c r="F50" s="20" t="s">
        <v>15</v>
      </c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>
        <f t="shared" si="0"/>
        <v>0</v>
      </c>
      <c r="AM50" s="22">
        <f t="shared" si="1"/>
        <v>0</v>
      </c>
      <c r="AN50" s="23"/>
      <c r="AO50" s="23"/>
      <c r="AP50" s="23"/>
    </row>
    <row r="51" spans="1:42" ht="12.75" customHeight="1" x14ac:dyDescent="0.25">
      <c r="A51" s="17">
        <v>15</v>
      </c>
      <c r="B51" s="18" t="s">
        <v>57</v>
      </c>
      <c r="C51" s="18">
        <v>1</v>
      </c>
      <c r="D51" s="18" t="s">
        <v>58</v>
      </c>
      <c r="E51" s="19">
        <v>105620</v>
      </c>
      <c r="F51" s="20" t="s">
        <v>15</v>
      </c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>
        <f t="shared" si="0"/>
        <v>0</v>
      </c>
      <c r="AM51" s="22">
        <f t="shared" si="1"/>
        <v>0</v>
      </c>
      <c r="AN51" s="23"/>
      <c r="AO51" s="23"/>
      <c r="AP51" s="23"/>
    </row>
    <row r="52" spans="1:42" ht="12.75" customHeight="1" x14ac:dyDescent="0.25">
      <c r="A52" s="17">
        <v>16</v>
      </c>
      <c r="B52" s="18" t="s">
        <v>59</v>
      </c>
      <c r="C52" s="18">
        <v>1</v>
      </c>
      <c r="D52" s="18" t="s">
        <v>58</v>
      </c>
      <c r="E52" s="19">
        <v>195628</v>
      </c>
      <c r="F52" s="20" t="s">
        <v>15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>
        <f t="shared" si="0"/>
        <v>0</v>
      </c>
      <c r="AM52" s="22">
        <f t="shared" si="1"/>
        <v>0</v>
      </c>
      <c r="AN52" s="23"/>
      <c r="AO52" s="23"/>
      <c r="AP52" s="23"/>
    </row>
    <row r="53" spans="1:42" ht="12.75" customHeight="1" x14ac:dyDescent="0.25">
      <c r="A53" s="17">
        <v>17</v>
      </c>
      <c r="B53" s="18" t="s">
        <v>60</v>
      </c>
      <c r="C53" s="18">
        <v>1</v>
      </c>
      <c r="D53" s="18" t="s">
        <v>58</v>
      </c>
      <c r="E53" s="19">
        <v>250272</v>
      </c>
      <c r="F53" s="20" t="s">
        <v>15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>
        <f t="shared" si="0"/>
        <v>0</v>
      </c>
      <c r="AM53" s="22">
        <f t="shared" si="1"/>
        <v>0</v>
      </c>
      <c r="AN53" s="23"/>
      <c r="AO53" s="23"/>
      <c r="AP53" s="23"/>
    </row>
    <row r="54" spans="1:42" ht="12.75" customHeight="1" x14ac:dyDescent="0.25">
      <c r="A54" s="17">
        <v>18</v>
      </c>
      <c r="B54" s="18" t="s">
        <v>61</v>
      </c>
      <c r="C54" s="18">
        <v>1</v>
      </c>
      <c r="D54" s="18" t="s">
        <v>58</v>
      </c>
      <c r="E54" s="19">
        <v>297486</v>
      </c>
      <c r="F54" s="20" t="s">
        <v>15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>
        <f t="shared" si="0"/>
        <v>0</v>
      </c>
      <c r="AM54" s="22">
        <f t="shared" si="1"/>
        <v>0</v>
      </c>
      <c r="AN54" s="23"/>
      <c r="AO54" s="23"/>
      <c r="AP54" s="23"/>
    </row>
    <row r="55" spans="1:42" ht="12.75" customHeight="1" x14ac:dyDescent="0.25">
      <c r="A55" s="17">
        <v>19</v>
      </c>
      <c r="B55" s="18" t="s">
        <v>62</v>
      </c>
      <c r="C55" s="18">
        <v>1</v>
      </c>
      <c r="D55" s="18" t="s">
        <v>58</v>
      </c>
      <c r="E55" s="19">
        <v>437958</v>
      </c>
      <c r="F55" s="20" t="s">
        <v>15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>
        <f t="shared" si="0"/>
        <v>0</v>
      </c>
      <c r="AM55" s="22">
        <f t="shared" si="1"/>
        <v>0</v>
      </c>
      <c r="AN55" s="23"/>
      <c r="AO55" s="23"/>
      <c r="AP55" s="23"/>
    </row>
    <row r="56" spans="1:42" ht="12.75" customHeight="1" x14ac:dyDescent="0.25">
      <c r="A56" s="17">
        <v>20</v>
      </c>
      <c r="B56" s="18" t="s">
        <v>63</v>
      </c>
      <c r="C56" s="18">
        <v>1</v>
      </c>
      <c r="D56" s="18" t="s">
        <v>58</v>
      </c>
      <c r="E56" s="19">
        <v>297486</v>
      </c>
      <c r="F56" s="20" t="s">
        <v>15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>
        <f t="shared" si="0"/>
        <v>0</v>
      </c>
      <c r="AM56" s="22">
        <f t="shared" si="1"/>
        <v>0</v>
      </c>
      <c r="AN56" s="23"/>
      <c r="AO56" s="23"/>
      <c r="AP56" s="23"/>
    </row>
    <row r="57" spans="1:42" ht="12.75" customHeight="1" x14ac:dyDescent="0.25">
      <c r="A57" s="17">
        <v>21</v>
      </c>
      <c r="B57" s="18" t="s">
        <v>64</v>
      </c>
      <c r="C57" s="18">
        <v>1</v>
      </c>
      <c r="D57" s="18" t="s">
        <v>58</v>
      </c>
      <c r="E57" s="19">
        <v>391256</v>
      </c>
      <c r="F57" s="20" t="s">
        <v>15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>
        <f t="shared" si="0"/>
        <v>0</v>
      </c>
      <c r="AM57" s="22">
        <f t="shared" si="1"/>
        <v>0</v>
      </c>
      <c r="AN57" s="23"/>
      <c r="AO57" s="23"/>
      <c r="AP57" s="23"/>
    </row>
    <row r="58" spans="1:42" ht="12.75" customHeight="1" x14ac:dyDescent="0.25">
      <c r="A58" s="17">
        <v>22</v>
      </c>
      <c r="B58" s="18" t="s">
        <v>65</v>
      </c>
      <c r="C58" s="18">
        <v>1</v>
      </c>
      <c r="D58" s="18" t="s">
        <v>58</v>
      </c>
      <c r="E58" s="19">
        <v>391256</v>
      </c>
      <c r="F58" s="20" t="s">
        <v>15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>
        <f t="shared" si="0"/>
        <v>0</v>
      </c>
      <c r="AM58" s="22">
        <f t="shared" si="1"/>
        <v>0</v>
      </c>
      <c r="AN58" s="23"/>
      <c r="AO58" s="23"/>
      <c r="AP58" s="23"/>
    </row>
    <row r="59" spans="1:42" ht="12.75" customHeight="1" x14ac:dyDescent="0.25">
      <c r="A59" s="17">
        <v>23</v>
      </c>
      <c r="B59" s="18" t="s">
        <v>66</v>
      </c>
      <c r="C59" s="18">
        <v>1</v>
      </c>
      <c r="D59" s="18" t="s">
        <v>58</v>
      </c>
      <c r="E59" s="19">
        <v>379593</v>
      </c>
      <c r="F59" s="20" t="s">
        <v>15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>
        <f t="shared" si="0"/>
        <v>0</v>
      </c>
      <c r="AM59" s="22">
        <f t="shared" si="1"/>
        <v>0</v>
      </c>
      <c r="AN59" s="23"/>
      <c r="AO59" s="23"/>
      <c r="AP59" s="23"/>
    </row>
    <row r="60" spans="1:42" ht="12.75" customHeight="1" x14ac:dyDescent="0.25">
      <c r="A60" s="17">
        <v>24</v>
      </c>
      <c r="B60" s="18" t="s">
        <v>67</v>
      </c>
      <c r="C60" s="18">
        <v>1</v>
      </c>
      <c r="D60" s="18" t="s">
        <v>58</v>
      </c>
      <c r="E60" s="19">
        <v>334730</v>
      </c>
      <c r="F60" s="20" t="s">
        <v>15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>
        <f t="shared" si="0"/>
        <v>0</v>
      </c>
      <c r="AM60" s="22">
        <f t="shared" si="1"/>
        <v>0</v>
      </c>
      <c r="AN60" s="23"/>
      <c r="AO60" s="23"/>
      <c r="AP60" s="23"/>
    </row>
    <row r="61" spans="1:42" ht="12.75" customHeight="1" x14ac:dyDescent="0.25">
      <c r="A61" s="17">
        <v>25</v>
      </c>
      <c r="B61" s="18" t="s">
        <v>68</v>
      </c>
      <c r="C61" s="18">
        <v>1</v>
      </c>
      <c r="D61" s="18" t="s">
        <v>58</v>
      </c>
      <c r="E61" s="19">
        <v>475150</v>
      </c>
      <c r="F61" s="20" t="s">
        <v>15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>
        <f t="shared" si="0"/>
        <v>0</v>
      </c>
      <c r="AM61" s="22">
        <f t="shared" si="1"/>
        <v>0</v>
      </c>
      <c r="AN61" s="23"/>
      <c r="AO61" s="23"/>
      <c r="AP61" s="23"/>
    </row>
    <row r="62" spans="1:42" ht="12.75" customHeight="1" x14ac:dyDescent="0.25">
      <c r="A62" s="17">
        <v>26</v>
      </c>
      <c r="B62" s="18" t="s">
        <v>69</v>
      </c>
      <c r="C62" s="18">
        <v>1</v>
      </c>
      <c r="D62" s="18" t="s">
        <v>58</v>
      </c>
      <c r="E62" s="19">
        <v>1148749</v>
      </c>
      <c r="F62" s="20" t="s">
        <v>15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>
        <v>1</v>
      </c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>
        <v>1</v>
      </c>
      <c r="AL62" s="18">
        <v>1148749</v>
      </c>
      <c r="AM62" s="22">
        <f t="shared" si="1"/>
        <v>1319624265001</v>
      </c>
      <c r="AN62" s="23"/>
      <c r="AO62" s="23"/>
      <c r="AP62" s="23"/>
    </row>
    <row r="63" spans="1:42" ht="12.75" customHeight="1" x14ac:dyDescent="0.25">
      <c r="A63" s="17">
        <v>27</v>
      </c>
      <c r="B63" s="18" t="s">
        <v>70</v>
      </c>
      <c r="C63" s="18">
        <v>1</v>
      </c>
      <c r="D63" s="18" t="s">
        <v>58</v>
      </c>
      <c r="E63" s="19">
        <v>462829</v>
      </c>
      <c r="F63" s="20" t="s">
        <v>15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>
        <f t="shared" si="0"/>
        <v>0</v>
      </c>
      <c r="AM63" s="22">
        <f t="shared" si="1"/>
        <v>0</v>
      </c>
      <c r="AN63" s="23"/>
      <c r="AO63" s="23"/>
      <c r="AP63" s="23"/>
    </row>
    <row r="64" spans="1:42" ht="12.75" customHeight="1" x14ac:dyDescent="0.25">
      <c r="A64" s="17">
        <v>28</v>
      </c>
      <c r="B64" s="18" t="s">
        <v>71</v>
      </c>
      <c r="C64" s="18">
        <v>1</v>
      </c>
      <c r="D64" s="18" t="s">
        <v>58</v>
      </c>
      <c r="E64" s="19">
        <v>1458273</v>
      </c>
      <c r="F64" s="20" t="s">
        <v>15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>
        <f t="shared" si="0"/>
        <v>0</v>
      </c>
      <c r="AM64" s="22">
        <f t="shared" si="1"/>
        <v>0</v>
      </c>
      <c r="AN64" s="23"/>
      <c r="AO64" s="23"/>
      <c r="AP64" s="23"/>
    </row>
    <row r="65" spans="1:42" ht="12.75" customHeight="1" x14ac:dyDescent="0.25">
      <c r="A65" s="17">
        <v>29</v>
      </c>
      <c r="B65" s="18" t="s">
        <v>72</v>
      </c>
      <c r="C65" s="18">
        <v>1</v>
      </c>
      <c r="D65" s="18" t="s">
        <v>58</v>
      </c>
      <c r="E65" s="19">
        <v>3000911</v>
      </c>
      <c r="F65" s="20" t="s">
        <v>15</v>
      </c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>
        <f t="shared" si="0"/>
        <v>0</v>
      </c>
      <c r="AM65" s="22">
        <f t="shared" si="1"/>
        <v>0</v>
      </c>
      <c r="AN65" s="23"/>
      <c r="AO65" s="23"/>
      <c r="AP65" s="23"/>
    </row>
    <row r="66" spans="1:42" ht="12.75" customHeight="1" x14ac:dyDescent="0.25">
      <c r="A66" s="17">
        <v>30</v>
      </c>
      <c r="B66" s="18" t="s">
        <v>73</v>
      </c>
      <c r="C66" s="18">
        <v>1</v>
      </c>
      <c r="D66" s="18" t="s">
        <v>58</v>
      </c>
      <c r="E66" s="19">
        <v>1307791</v>
      </c>
      <c r="F66" s="20" t="s">
        <v>15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>
        <f t="shared" si="0"/>
        <v>0</v>
      </c>
      <c r="AM66" s="22">
        <f t="shared" si="1"/>
        <v>0</v>
      </c>
      <c r="AN66" s="23"/>
      <c r="AO66" s="23"/>
      <c r="AP66" s="23"/>
    </row>
    <row r="67" spans="1:42" ht="12.75" customHeight="1" x14ac:dyDescent="0.25">
      <c r="A67" s="17">
        <v>31</v>
      </c>
      <c r="B67" s="18" t="s">
        <v>74</v>
      </c>
      <c r="C67" s="18">
        <v>1</v>
      </c>
      <c r="D67" s="18" t="s">
        <v>58</v>
      </c>
      <c r="E67" s="19">
        <v>225066</v>
      </c>
      <c r="F67" s="20" t="s">
        <v>15</v>
      </c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>
        <f t="shared" si="0"/>
        <v>0</v>
      </c>
      <c r="AM67" s="22">
        <f t="shared" si="1"/>
        <v>0</v>
      </c>
      <c r="AN67" s="23"/>
      <c r="AO67" s="23"/>
      <c r="AP67" s="23"/>
    </row>
    <row r="68" spans="1:42" ht="12.75" customHeight="1" x14ac:dyDescent="0.25">
      <c r="A68" s="17">
        <v>32</v>
      </c>
      <c r="B68" s="18" t="s">
        <v>75</v>
      </c>
      <c r="C68" s="18">
        <v>1</v>
      </c>
      <c r="D68" s="18" t="s">
        <v>58</v>
      </c>
      <c r="E68" s="19">
        <v>206162</v>
      </c>
      <c r="F68" s="20" t="s">
        <v>15</v>
      </c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>
        <f t="shared" si="0"/>
        <v>0</v>
      </c>
      <c r="AM68" s="22">
        <f t="shared" si="1"/>
        <v>0</v>
      </c>
      <c r="AN68" s="23"/>
      <c r="AO68" s="23"/>
      <c r="AP68" s="23"/>
    </row>
    <row r="69" spans="1:42" ht="12.75" customHeight="1" x14ac:dyDescent="0.25">
      <c r="A69" s="17">
        <v>33</v>
      </c>
      <c r="B69" s="18" t="s">
        <v>76</v>
      </c>
      <c r="C69" s="18">
        <v>1</v>
      </c>
      <c r="D69" s="18" t="s">
        <v>58</v>
      </c>
      <c r="E69" s="19">
        <v>141172</v>
      </c>
      <c r="F69" s="20" t="s">
        <v>15</v>
      </c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>
        <f t="shared" si="0"/>
        <v>0</v>
      </c>
      <c r="AM69" s="22">
        <f t="shared" si="1"/>
        <v>0</v>
      </c>
      <c r="AN69" s="23"/>
      <c r="AO69" s="23"/>
      <c r="AP69" s="23"/>
    </row>
    <row r="70" spans="1:42" ht="12.75" customHeight="1" x14ac:dyDescent="0.25">
      <c r="A70" s="17">
        <v>34</v>
      </c>
      <c r="B70" s="18" t="s">
        <v>77</v>
      </c>
      <c r="C70" s="18">
        <v>1</v>
      </c>
      <c r="D70" s="18" t="s">
        <v>58</v>
      </c>
      <c r="E70" s="19">
        <v>925470</v>
      </c>
      <c r="F70" s="20" t="s">
        <v>15</v>
      </c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>
        <f t="shared" si="0"/>
        <v>0</v>
      </c>
      <c r="AM70" s="22">
        <f t="shared" si="1"/>
        <v>0</v>
      </c>
      <c r="AN70" s="23"/>
      <c r="AO70" s="23"/>
      <c r="AP70" s="23"/>
    </row>
    <row r="71" spans="1:42" ht="12.75" customHeight="1" x14ac:dyDescent="0.25">
      <c r="A71" s="17">
        <v>35</v>
      </c>
      <c r="B71" s="18" t="s">
        <v>78</v>
      </c>
      <c r="C71" s="18">
        <v>1</v>
      </c>
      <c r="D71" s="18" t="s">
        <v>58</v>
      </c>
      <c r="E71" s="19">
        <v>155091</v>
      </c>
      <c r="F71" s="20" t="s">
        <v>15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>
        <f t="shared" si="0"/>
        <v>0</v>
      </c>
      <c r="AM71" s="22">
        <f t="shared" si="1"/>
        <v>0</v>
      </c>
      <c r="AN71" s="23"/>
      <c r="AO71" s="23"/>
      <c r="AP71" s="23"/>
    </row>
    <row r="72" spans="1:42" ht="12.75" customHeight="1" x14ac:dyDescent="0.25">
      <c r="A72" s="17">
        <v>36</v>
      </c>
      <c r="B72" s="18" t="s">
        <v>79</v>
      </c>
      <c r="C72" s="18">
        <v>1</v>
      </c>
      <c r="D72" s="18" t="s">
        <v>58</v>
      </c>
      <c r="E72" s="19">
        <v>105620</v>
      </c>
      <c r="F72" s="20" t="s">
        <v>15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>
        <f t="shared" si="0"/>
        <v>0</v>
      </c>
      <c r="AM72" s="22">
        <f t="shared" si="1"/>
        <v>0</v>
      </c>
      <c r="AN72" s="23"/>
      <c r="AO72" s="23"/>
      <c r="AP72" s="23"/>
    </row>
    <row r="73" spans="1:42" ht="12.75" customHeight="1" x14ac:dyDescent="0.25">
      <c r="A73" s="17">
        <v>37</v>
      </c>
      <c r="B73" s="18" t="s">
        <v>80</v>
      </c>
      <c r="C73" s="18">
        <v>1</v>
      </c>
      <c r="D73" s="18" t="s">
        <v>58</v>
      </c>
      <c r="E73" s="19">
        <v>195628</v>
      </c>
      <c r="F73" s="20" t="s">
        <v>15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>
        <f t="shared" si="0"/>
        <v>0</v>
      </c>
      <c r="AM73" s="22">
        <f t="shared" si="1"/>
        <v>0</v>
      </c>
      <c r="AN73" s="23"/>
      <c r="AO73" s="23"/>
      <c r="AP73" s="23"/>
    </row>
    <row r="74" spans="1:42" ht="12.75" customHeight="1" x14ac:dyDescent="0.25">
      <c r="A74" s="17">
        <v>38</v>
      </c>
      <c r="B74" s="18" t="s">
        <v>81</v>
      </c>
      <c r="C74" s="18">
        <v>1</v>
      </c>
      <c r="D74" s="18" t="s">
        <v>58</v>
      </c>
      <c r="E74" s="19">
        <v>223279</v>
      </c>
      <c r="F74" s="20" t="s">
        <v>15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>
        <f t="shared" si="0"/>
        <v>0</v>
      </c>
      <c r="AM74" s="22">
        <f t="shared" si="1"/>
        <v>0</v>
      </c>
      <c r="AN74" s="23"/>
      <c r="AO74" s="23"/>
      <c r="AP74" s="23"/>
    </row>
    <row r="75" spans="1:42" ht="12.75" customHeight="1" x14ac:dyDescent="0.25">
      <c r="A75" s="17">
        <v>39</v>
      </c>
      <c r="B75" s="18" t="s">
        <v>82</v>
      </c>
      <c r="C75" s="18">
        <v>1</v>
      </c>
      <c r="D75" s="18" t="s">
        <v>58</v>
      </c>
      <c r="E75" s="19">
        <v>204375</v>
      </c>
      <c r="F75" s="20" t="s">
        <v>15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>
        <f t="shared" si="0"/>
        <v>0</v>
      </c>
      <c r="AM75" s="22">
        <f t="shared" si="1"/>
        <v>0</v>
      </c>
      <c r="AN75" s="23"/>
      <c r="AO75" s="23"/>
      <c r="AP75" s="23"/>
    </row>
    <row r="76" spans="1:42" ht="12.75" customHeight="1" x14ac:dyDescent="0.25">
      <c r="A76" s="17"/>
      <c r="B76" s="18"/>
      <c r="C76" s="18"/>
      <c r="D76" s="18"/>
      <c r="E76" s="19"/>
      <c r="F76" s="20" t="s">
        <v>15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>
        <f t="shared" si="0"/>
        <v>0</v>
      </c>
      <c r="AM76" s="22">
        <f t="shared" si="1"/>
        <v>0</v>
      </c>
      <c r="AN76" s="23"/>
      <c r="AO76" s="23"/>
      <c r="AP76" s="23"/>
    </row>
    <row r="77" spans="1:42" ht="12.75" customHeight="1" x14ac:dyDescent="0.25">
      <c r="A77" s="17">
        <v>40</v>
      </c>
      <c r="B77" s="18" t="s">
        <v>83</v>
      </c>
      <c r="C77" s="18">
        <v>1</v>
      </c>
      <c r="D77" s="18" t="s">
        <v>58</v>
      </c>
      <c r="E77" s="19">
        <v>79215</v>
      </c>
      <c r="F77" s="20" t="s">
        <v>15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>
        <f t="shared" si="0"/>
        <v>0</v>
      </c>
      <c r="AM77" s="22">
        <f t="shared" si="1"/>
        <v>0</v>
      </c>
      <c r="AN77" s="23"/>
      <c r="AO77" s="23"/>
      <c r="AP77" s="23"/>
    </row>
    <row r="78" spans="1:42" ht="12.75" customHeight="1" x14ac:dyDescent="0.25">
      <c r="A78" s="17">
        <v>41</v>
      </c>
      <c r="B78" s="18" t="s">
        <v>84</v>
      </c>
      <c r="C78" s="18">
        <v>1</v>
      </c>
      <c r="D78" s="18" t="s">
        <v>58</v>
      </c>
      <c r="E78" s="19">
        <v>146721</v>
      </c>
      <c r="F78" s="20" t="s">
        <v>15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>
        <f t="shared" si="0"/>
        <v>0</v>
      </c>
      <c r="AM78" s="22">
        <f t="shared" si="1"/>
        <v>0</v>
      </c>
      <c r="AN78" s="23"/>
      <c r="AO78" s="23"/>
      <c r="AP78" s="23"/>
    </row>
    <row r="79" spans="1:42" ht="12.75" customHeight="1" x14ac:dyDescent="0.25">
      <c r="A79" s="17">
        <v>42</v>
      </c>
      <c r="B79" s="18" t="s">
        <v>85</v>
      </c>
      <c r="C79" s="18">
        <v>1</v>
      </c>
      <c r="D79" s="18" t="s">
        <v>58</v>
      </c>
      <c r="E79" s="19">
        <v>187704</v>
      </c>
      <c r="F79" s="20" t="s">
        <v>15</v>
      </c>
      <c r="G79" s="18"/>
      <c r="H79" s="18"/>
      <c r="I79" s="18"/>
      <c r="J79" s="18"/>
      <c r="K79" s="18"/>
      <c r="L79" s="18"/>
      <c r="M79" s="18"/>
      <c r="N79" s="18"/>
      <c r="O79" s="18"/>
      <c r="P79" s="18">
        <v>1</v>
      </c>
      <c r="Q79" s="18">
        <v>1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>
        <v>1</v>
      </c>
      <c r="AE79" s="18"/>
      <c r="AF79" s="18"/>
      <c r="AG79" s="18"/>
      <c r="AH79" s="18"/>
      <c r="AI79" s="18"/>
      <c r="AJ79" s="18"/>
      <c r="AK79" s="18">
        <v>3</v>
      </c>
      <c r="AL79" s="18">
        <v>563112</v>
      </c>
      <c r="AM79" s="22">
        <f t="shared" si="1"/>
        <v>105698374848</v>
      </c>
      <c r="AN79" s="23"/>
      <c r="AO79" s="23"/>
      <c r="AP79" s="23"/>
    </row>
    <row r="80" spans="1:42" ht="12.75" customHeight="1" x14ac:dyDescent="0.25">
      <c r="A80" s="17">
        <v>43</v>
      </c>
      <c r="B80" s="18" t="s">
        <v>86</v>
      </c>
      <c r="C80" s="18">
        <v>1</v>
      </c>
      <c r="D80" s="18" t="s">
        <v>58</v>
      </c>
      <c r="E80" s="19">
        <v>223114</v>
      </c>
      <c r="F80" s="20" t="s">
        <v>15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>
        <f t="shared" si="0"/>
        <v>0</v>
      </c>
      <c r="AM80" s="22">
        <f t="shared" si="1"/>
        <v>0</v>
      </c>
      <c r="AN80" s="23"/>
      <c r="AO80" s="23"/>
      <c r="AP80" s="23"/>
    </row>
    <row r="81" spans="1:42" ht="12.75" customHeight="1" x14ac:dyDescent="0.25">
      <c r="A81" s="17">
        <v>44</v>
      </c>
      <c r="B81" s="18" t="s">
        <v>87</v>
      </c>
      <c r="C81" s="18">
        <v>1</v>
      </c>
      <c r="D81" s="18" t="s">
        <v>58</v>
      </c>
      <c r="E81" s="19">
        <v>328469</v>
      </c>
      <c r="F81" s="20" t="s">
        <v>15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>
        <f t="shared" si="0"/>
        <v>0</v>
      </c>
      <c r="AM81" s="22">
        <f t="shared" si="1"/>
        <v>0</v>
      </c>
      <c r="AN81" s="23"/>
      <c r="AO81" s="23"/>
      <c r="AP81" s="23"/>
    </row>
    <row r="82" spans="1:42" ht="12.75" customHeight="1" x14ac:dyDescent="0.25">
      <c r="A82" s="17">
        <v>45</v>
      </c>
      <c r="B82" s="18" t="s">
        <v>88</v>
      </c>
      <c r="C82" s="18">
        <v>1</v>
      </c>
      <c r="D82" s="18" t="s">
        <v>58</v>
      </c>
      <c r="E82" s="19">
        <v>223114</v>
      </c>
      <c r="F82" s="20" t="s">
        <v>15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>
        <f t="shared" si="0"/>
        <v>0</v>
      </c>
      <c r="AM82" s="22">
        <f t="shared" si="1"/>
        <v>0</v>
      </c>
      <c r="AN82" s="23"/>
      <c r="AO82" s="23"/>
      <c r="AP82" s="23"/>
    </row>
    <row r="83" spans="1:42" ht="12.75" customHeight="1" x14ac:dyDescent="0.25">
      <c r="A83" s="17">
        <v>46</v>
      </c>
      <c r="B83" s="18" t="s">
        <v>89</v>
      </c>
      <c r="C83" s="18">
        <v>1</v>
      </c>
      <c r="D83" s="18" t="s">
        <v>58</v>
      </c>
      <c r="E83" s="19">
        <v>293442</v>
      </c>
      <c r="F83" s="20" t="s">
        <v>15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>
        <f t="shared" si="0"/>
        <v>0</v>
      </c>
      <c r="AM83" s="22">
        <f t="shared" si="1"/>
        <v>0</v>
      </c>
      <c r="AN83" s="23"/>
      <c r="AO83" s="23"/>
      <c r="AP83" s="23"/>
    </row>
    <row r="84" spans="1:42" ht="12.75" customHeight="1" x14ac:dyDescent="0.25">
      <c r="A84" s="17">
        <v>47</v>
      </c>
      <c r="B84" s="18" t="s">
        <v>90</v>
      </c>
      <c r="C84" s="18">
        <v>1</v>
      </c>
      <c r="D84" s="18" t="s">
        <v>58</v>
      </c>
      <c r="E84" s="19">
        <v>293442</v>
      </c>
      <c r="F84" s="20" t="s">
        <v>15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>
        <f t="shared" si="0"/>
        <v>0</v>
      </c>
      <c r="AM84" s="22">
        <f t="shared" si="1"/>
        <v>0</v>
      </c>
      <c r="AN84" s="23"/>
      <c r="AO84" s="23"/>
      <c r="AP84" s="23"/>
    </row>
    <row r="85" spans="1:42" ht="12.75" customHeight="1" x14ac:dyDescent="0.25">
      <c r="A85" s="17">
        <v>48</v>
      </c>
      <c r="B85" s="18" t="s">
        <v>91</v>
      </c>
      <c r="C85" s="18">
        <v>1</v>
      </c>
      <c r="D85" s="18" t="s">
        <v>58</v>
      </c>
      <c r="E85" s="19">
        <v>284695</v>
      </c>
      <c r="F85" s="20" t="s">
        <v>15</v>
      </c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>
        <f t="shared" si="0"/>
        <v>0</v>
      </c>
      <c r="AM85" s="22">
        <f t="shared" si="1"/>
        <v>0</v>
      </c>
      <c r="AN85" s="23"/>
      <c r="AO85" s="23"/>
      <c r="AP85" s="23"/>
    </row>
    <row r="86" spans="1:42" ht="12.75" customHeight="1" x14ac:dyDescent="0.25">
      <c r="A86" s="17">
        <v>49</v>
      </c>
      <c r="B86" s="18" t="s">
        <v>92</v>
      </c>
      <c r="C86" s="18">
        <v>1</v>
      </c>
      <c r="D86" s="18" t="s">
        <v>58</v>
      </c>
      <c r="E86" s="19">
        <v>251048</v>
      </c>
      <c r="F86" s="20" t="s">
        <v>15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>
        <f t="shared" si="0"/>
        <v>0</v>
      </c>
      <c r="AM86" s="22">
        <f t="shared" si="1"/>
        <v>0</v>
      </c>
      <c r="AN86" s="23"/>
      <c r="AO86" s="23"/>
      <c r="AP86" s="23"/>
    </row>
    <row r="87" spans="1:42" ht="12.75" customHeight="1" x14ac:dyDescent="0.25">
      <c r="A87" s="17">
        <v>50</v>
      </c>
      <c r="B87" s="18" t="s">
        <v>93</v>
      </c>
      <c r="C87" s="18">
        <v>1</v>
      </c>
      <c r="D87" s="18" t="s">
        <v>58</v>
      </c>
      <c r="E87" s="19">
        <v>356362</v>
      </c>
      <c r="F87" s="20" t="s">
        <v>15</v>
      </c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>
        <f t="shared" si="0"/>
        <v>0</v>
      </c>
      <c r="AM87" s="22">
        <f t="shared" si="1"/>
        <v>0</v>
      </c>
      <c r="AN87" s="23"/>
      <c r="AO87" s="23"/>
      <c r="AP87" s="23"/>
    </row>
    <row r="88" spans="1:42" ht="12.75" customHeight="1" x14ac:dyDescent="0.25">
      <c r="A88" s="17">
        <v>51</v>
      </c>
      <c r="B88" s="18" t="s">
        <v>94</v>
      </c>
      <c r="C88" s="18">
        <v>1</v>
      </c>
      <c r="D88" s="18" t="s">
        <v>58</v>
      </c>
      <c r="E88" s="19">
        <v>861562</v>
      </c>
      <c r="F88" s="20" t="s">
        <v>15</v>
      </c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>
        <f t="shared" si="0"/>
        <v>0</v>
      </c>
      <c r="AM88" s="22">
        <f t="shared" si="1"/>
        <v>0</v>
      </c>
      <c r="AN88" s="23"/>
      <c r="AO88" s="23"/>
      <c r="AP88" s="23"/>
    </row>
    <row r="89" spans="1:42" ht="12.75" customHeight="1" x14ac:dyDescent="0.25">
      <c r="A89" s="17">
        <v>52</v>
      </c>
      <c r="B89" s="18" t="s">
        <v>95</v>
      </c>
      <c r="C89" s="18">
        <v>1</v>
      </c>
      <c r="D89" s="18" t="s">
        <v>58</v>
      </c>
      <c r="E89" s="19">
        <v>347122</v>
      </c>
      <c r="F89" s="20" t="s">
        <v>15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>
        <f t="shared" si="0"/>
        <v>0</v>
      </c>
      <c r="AM89" s="22">
        <f t="shared" si="1"/>
        <v>0</v>
      </c>
      <c r="AN89" s="23"/>
      <c r="AO89" s="23"/>
      <c r="AP89" s="23"/>
    </row>
    <row r="90" spans="1:42" ht="12.75" customHeight="1" x14ac:dyDescent="0.25">
      <c r="A90" s="17">
        <v>53</v>
      </c>
      <c r="B90" s="18" t="s">
        <v>96</v>
      </c>
      <c r="C90" s="18">
        <v>1</v>
      </c>
      <c r="D90" s="18" t="s">
        <v>58</v>
      </c>
      <c r="E90" s="19">
        <v>1093705</v>
      </c>
      <c r="F90" s="20" t="s">
        <v>15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>
        <f t="shared" si="0"/>
        <v>0</v>
      </c>
      <c r="AM90" s="22">
        <f t="shared" si="1"/>
        <v>0</v>
      </c>
      <c r="AN90" s="23"/>
      <c r="AO90" s="23"/>
      <c r="AP90" s="23"/>
    </row>
    <row r="91" spans="1:42" ht="12.75" customHeight="1" x14ac:dyDescent="0.25">
      <c r="A91" s="17">
        <v>54</v>
      </c>
      <c r="B91" s="18" t="s">
        <v>97</v>
      </c>
      <c r="C91" s="18">
        <v>1</v>
      </c>
      <c r="D91" s="18" t="s">
        <v>58</v>
      </c>
      <c r="E91" s="19">
        <v>2250683</v>
      </c>
      <c r="F91" s="20" t="s">
        <v>15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>
        <f t="shared" si="0"/>
        <v>0</v>
      </c>
      <c r="AM91" s="22">
        <f t="shared" si="1"/>
        <v>0</v>
      </c>
      <c r="AN91" s="23"/>
      <c r="AO91" s="23"/>
      <c r="AP91" s="23"/>
    </row>
    <row r="92" spans="1:42" ht="12.75" customHeight="1" x14ac:dyDescent="0.25">
      <c r="A92" s="17">
        <v>55</v>
      </c>
      <c r="B92" s="18" t="s">
        <v>98</v>
      </c>
      <c r="C92" s="18">
        <v>1</v>
      </c>
      <c r="D92" s="18" t="s">
        <v>58</v>
      </c>
      <c r="E92" s="19">
        <v>980843</v>
      </c>
      <c r="F92" s="20" t="s">
        <v>15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>
        <f t="shared" si="0"/>
        <v>0</v>
      </c>
      <c r="AM92" s="22">
        <f t="shared" si="1"/>
        <v>0</v>
      </c>
      <c r="AN92" s="23"/>
      <c r="AO92" s="23"/>
      <c r="AP92" s="23"/>
    </row>
    <row r="93" spans="1:42" ht="12.75" customHeight="1" x14ac:dyDescent="0.25">
      <c r="A93" s="17">
        <v>56</v>
      </c>
      <c r="B93" s="18" t="s">
        <v>99</v>
      </c>
      <c r="C93" s="18">
        <v>1</v>
      </c>
      <c r="D93" s="18" t="s">
        <v>58</v>
      </c>
      <c r="E93" s="19">
        <v>168799</v>
      </c>
      <c r="F93" s="20" t="s">
        <v>15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>
        <f t="shared" si="0"/>
        <v>0</v>
      </c>
      <c r="AM93" s="22">
        <f t="shared" si="1"/>
        <v>0</v>
      </c>
      <c r="AN93" s="23"/>
      <c r="AO93" s="23"/>
      <c r="AP93" s="23"/>
    </row>
    <row r="94" spans="1:42" ht="12.75" customHeight="1" x14ac:dyDescent="0.25">
      <c r="A94" s="17">
        <v>57</v>
      </c>
      <c r="B94" s="18" t="s">
        <v>100</v>
      </c>
      <c r="C94" s="18">
        <v>1</v>
      </c>
      <c r="D94" s="18" t="s">
        <v>58</v>
      </c>
      <c r="E94" s="19">
        <v>154621</v>
      </c>
      <c r="F94" s="20" t="s">
        <v>15</v>
      </c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>
        <f t="shared" si="0"/>
        <v>0</v>
      </c>
      <c r="AM94" s="22">
        <f t="shared" si="1"/>
        <v>0</v>
      </c>
      <c r="AN94" s="23"/>
      <c r="AO94" s="23"/>
      <c r="AP94" s="23"/>
    </row>
    <row r="95" spans="1:42" ht="12.75" customHeight="1" x14ac:dyDescent="0.25">
      <c r="A95" s="17">
        <v>58</v>
      </c>
      <c r="B95" s="18" t="s">
        <v>101</v>
      </c>
      <c r="C95" s="18">
        <v>1</v>
      </c>
      <c r="D95" s="18" t="s">
        <v>58</v>
      </c>
      <c r="E95" s="19">
        <v>105879</v>
      </c>
      <c r="F95" s="20" t="s">
        <v>15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>
        <f t="shared" si="0"/>
        <v>0</v>
      </c>
      <c r="AM95" s="22">
        <f t="shared" si="1"/>
        <v>0</v>
      </c>
      <c r="AN95" s="23"/>
      <c r="AO95" s="23"/>
      <c r="AP95" s="23"/>
    </row>
    <row r="96" spans="1:42" ht="12.75" customHeight="1" x14ac:dyDescent="0.25">
      <c r="A96" s="17">
        <v>59</v>
      </c>
      <c r="B96" s="18" t="s">
        <v>102</v>
      </c>
      <c r="C96" s="18">
        <v>1</v>
      </c>
      <c r="D96" s="18" t="s">
        <v>58</v>
      </c>
      <c r="E96" s="19">
        <v>694102</v>
      </c>
      <c r="F96" s="20" t="s">
        <v>15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>
        <f t="shared" si="0"/>
        <v>0</v>
      </c>
      <c r="AM96" s="22">
        <f t="shared" si="1"/>
        <v>0</v>
      </c>
      <c r="AN96" s="23"/>
      <c r="AO96" s="23"/>
      <c r="AP96" s="23"/>
    </row>
    <row r="97" spans="1:42" ht="12.75" customHeight="1" x14ac:dyDescent="0.25">
      <c r="A97" s="17">
        <v>60</v>
      </c>
      <c r="B97" s="18" t="s">
        <v>103</v>
      </c>
      <c r="C97" s="18">
        <v>1</v>
      </c>
      <c r="D97" s="18" t="s">
        <v>58</v>
      </c>
      <c r="E97" s="19">
        <v>116319</v>
      </c>
      <c r="F97" s="20" t="s">
        <v>15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>
        <f t="shared" si="0"/>
        <v>0</v>
      </c>
      <c r="AM97" s="22">
        <f t="shared" si="1"/>
        <v>0</v>
      </c>
      <c r="AN97" s="23"/>
      <c r="AO97" s="23"/>
      <c r="AP97" s="23"/>
    </row>
    <row r="98" spans="1:42" ht="12.75" customHeight="1" x14ac:dyDescent="0.25">
      <c r="A98" s="17">
        <v>61</v>
      </c>
      <c r="B98" s="18" t="s">
        <v>104</v>
      </c>
      <c r="C98" s="18">
        <v>1</v>
      </c>
      <c r="D98" s="18" t="s">
        <v>58</v>
      </c>
      <c r="E98" s="19">
        <v>79215</v>
      </c>
      <c r="F98" s="20" t="s">
        <v>15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>
        <f t="shared" si="0"/>
        <v>0</v>
      </c>
      <c r="AM98" s="22">
        <f t="shared" si="1"/>
        <v>0</v>
      </c>
      <c r="AN98" s="23"/>
      <c r="AO98" s="23"/>
      <c r="AP98" s="23"/>
    </row>
    <row r="99" spans="1:42" ht="12.75" customHeight="1" x14ac:dyDescent="0.25">
      <c r="A99" s="17">
        <v>62</v>
      </c>
      <c r="B99" s="18" t="s">
        <v>105</v>
      </c>
      <c r="C99" s="18">
        <v>1</v>
      </c>
      <c r="D99" s="18" t="s">
        <v>58</v>
      </c>
      <c r="E99" s="19">
        <v>146721</v>
      </c>
      <c r="F99" s="20" t="s">
        <v>15</v>
      </c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>
        <f t="shared" si="0"/>
        <v>0</v>
      </c>
      <c r="AM99" s="22">
        <f t="shared" si="1"/>
        <v>0</v>
      </c>
      <c r="AN99" s="23"/>
      <c r="AO99" s="23"/>
      <c r="AP99" s="23"/>
    </row>
    <row r="100" spans="1:42" ht="12.75" customHeight="1" x14ac:dyDescent="0.25">
      <c r="A100" s="17">
        <v>63</v>
      </c>
      <c r="B100" s="18" t="s">
        <v>106</v>
      </c>
      <c r="C100" s="18">
        <v>1</v>
      </c>
      <c r="D100" s="18" t="s">
        <v>58</v>
      </c>
      <c r="E100" s="19">
        <v>167459</v>
      </c>
      <c r="F100" s="20" t="s">
        <v>15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>
        <f t="shared" si="0"/>
        <v>0</v>
      </c>
      <c r="AM100" s="22">
        <f t="shared" si="1"/>
        <v>0</v>
      </c>
      <c r="AN100" s="23"/>
      <c r="AO100" s="23"/>
      <c r="AP100" s="23"/>
    </row>
    <row r="101" spans="1:42" ht="12.75" customHeight="1" x14ac:dyDescent="0.25">
      <c r="A101" s="17">
        <v>64</v>
      </c>
      <c r="B101" s="18" t="s">
        <v>107</v>
      </c>
      <c r="C101" s="18">
        <v>1</v>
      </c>
      <c r="D101" s="18" t="s">
        <v>58</v>
      </c>
      <c r="E101" s="19">
        <v>153281</v>
      </c>
      <c r="F101" s="20" t="s">
        <v>15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>
        <f t="shared" si="0"/>
        <v>0</v>
      </c>
      <c r="AM101" s="22">
        <f t="shared" si="1"/>
        <v>0</v>
      </c>
      <c r="AN101" s="23"/>
      <c r="AO101" s="23"/>
      <c r="AP101" s="23"/>
    </row>
    <row r="102" spans="1:42" ht="12.75" customHeight="1" x14ac:dyDescent="0.25">
      <c r="A102" s="17"/>
      <c r="B102" s="18"/>
      <c r="C102" s="18"/>
      <c r="D102" s="18"/>
      <c r="E102" s="19"/>
      <c r="F102" s="20" t="s">
        <v>15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>
        <f t="shared" si="0"/>
        <v>0</v>
      </c>
      <c r="AM102" s="22">
        <f t="shared" si="1"/>
        <v>0</v>
      </c>
      <c r="AN102" s="23"/>
      <c r="AO102" s="23"/>
      <c r="AP102" s="23"/>
    </row>
    <row r="103" spans="1:42" ht="12.75" customHeight="1" x14ac:dyDescent="0.25">
      <c r="A103" s="17" t="s">
        <v>108</v>
      </c>
      <c r="B103" s="18" t="s">
        <v>109</v>
      </c>
      <c r="C103" s="18"/>
      <c r="D103" s="18"/>
      <c r="E103" s="19"/>
      <c r="F103" s="20" t="s">
        <v>15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>
        <f t="shared" si="0"/>
        <v>0</v>
      </c>
      <c r="AM103" s="22">
        <f t="shared" si="1"/>
        <v>0</v>
      </c>
      <c r="AN103" s="23"/>
      <c r="AO103" s="23"/>
      <c r="AP103" s="23"/>
    </row>
    <row r="104" spans="1:42" ht="12.75" customHeight="1" x14ac:dyDescent="0.25">
      <c r="A104" s="17">
        <v>1</v>
      </c>
      <c r="B104" s="18" t="s">
        <v>110</v>
      </c>
      <c r="C104" s="18">
        <v>16</v>
      </c>
      <c r="D104" s="18" t="s">
        <v>111</v>
      </c>
      <c r="E104" s="19">
        <v>220013.94883301866</v>
      </c>
      <c r="F104" s="20" t="s">
        <v>15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>
        <f t="shared" si="0"/>
        <v>0</v>
      </c>
      <c r="AM104" s="22">
        <f t="shared" si="1"/>
        <v>0</v>
      </c>
      <c r="AN104" s="23"/>
      <c r="AO104" s="23"/>
      <c r="AP104" s="23"/>
    </row>
    <row r="105" spans="1:42" ht="12.75" customHeight="1" x14ac:dyDescent="0.25">
      <c r="A105" s="17">
        <v>2</v>
      </c>
      <c r="B105" s="18" t="s">
        <v>112</v>
      </c>
      <c r="C105" s="18">
        <v>16</v>
      </c>
      <c r="D105" s="18" t="s">
        <v>111</v>
      </c>
      <c r="E105" s="19">
        <v>264599.16211379535</v>
      </c>
      <c r="F105" s="20" t="s">
        <v>15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>
        <f t="shared" si="0"/>
        <v>0</v>
      </c>
      <c r="AM105" s="22">
        <f t="shared" si="1"/>
        <v>0</v>
      </c>
      <c r="AN105" s="23"/>
      <c r="AO105" s="23"/>
      <c r="AP105" s="23"/>
    </row>
    <row r="106" spans="1:42" ht="12.75" customHeight="1" x14ac:dyDescent="0.25">
      <c r="A106" s="17">
        <v>3</v>
      </c>
      <c r="B106" s="18" t="s">
        <v>113</v>
      </c>
      <c r="C106" s="18">
        <v>16</v>
      </c>
      <c r="D106" s="18" t="s">
        <v>111</v>
      </c>
      <c r="E106" s="19">
        <v>301919.57848789787</v>
      </c>
      <c r="F106" s="20" t="s">
        <v>15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>
        <f t="shared" si="0"/>
        <v>0</v>
      </c>
      <c r="AM106" s="22">
        <f t="shared" si="1"/>
        <v>0</v>
      </c>
      <c r="AN106" s="23"/>
      <c r="AO106" s="23"/>
      <c r="AP106" s="23"/>
    </row>
    <row r="107" spans="1:42" ht="12.75" customHeight="1" x14ac:dyDescent="0.25">
      <c r="A107" s="17">
        <v>4</v>
      </c>
      <c r="B107" s="18" t="s">
        <v>114</v>
      </c>
      <c r="C107" s="18">
        <v>16</v>
      </c>
      <c r="D107" s="18" t="s">
        <v>111</v>
      </c>
      <c r="E107" s="19">
        <v>301638.52133922087</v>
      </c>
      <c r="F107" s="20" t="s">
        <v>15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>
        <f t="shared" si="0"/>
        <v>0</v>
      </c>
      <c r="AM107" s="22">
        <f t="shared" si="1"/>
        <v>0</v>
      </c>
      <c r="AN107" s="23"/>
      <c r="AO107" s="23"/>
      <c r="AP107" s="23"/>
    </row>
    <row r="108" spans="1:42" ht="12.75" customHeight="1" x14ac:dyDescent="0.25">
      <c r="A108" s="17">
        <v>5</v>
      </c>
      <c r="B108" s="18" t="s">
        <v>115</v>
      </c>
      <c r="C108" s="18">
        <v>16</v>
      </c>
      <c r="D108" s="18" t="s">
        <v>116</v>
      </c>
      <c r="E108" s="19">
        <v>67118.064383437537</v>
      </c>
      <c r="F108" s="20" t="s">
        <v>15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>
        <f t="shared" si="0"/>
        <v>0</v>
      </c>
      <c r="AM108" s="22">
        <f t="shared" si="1"/>
        <v>0</v>
      </c>
      <c r="AN108" s="23"/>
      <c r="AO108" s="23"/>
      <c r="AP108" s="23"/>
    </row>
    <row r="109" spans="1:42" ht="12.75" customHeight="1" x14ac:dyDescent="0.25">
      <c r="A109" s="17"/>
      <c r="B109" s="18"/>
      <c r="C109" s="18">
        <v>16</v>
      </c>
      <c r="D109" s="18" t="s">
        <v>117</v>
      </c>
      <c r="E109" s="19">
        <v>92932.704530913514</v>
      </c>
      <c r="F109" s="20" t="s">
        <v>15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>
        <f t="shared" si="0"/>
        <v>0</v>
      </c>
      <c r="AM109" s="22">
        <f t="shared" si="1"/>
        <v>0</v>
      </c>
      <c r="AN109" s="23"/>
      <c r="AO109" s="23"/>
      <c r="AP109" s="23"/>
    </row>
    <row r="110" spans="1:42" ht="12.75" customHeight="1" x14ac:dyDescent="0.25">
      <c r="A110" s="17"/>
      <c r="B110" s="18"/>
      <c r="C110" s="18">
        <v>16</v>
      </c>
      <c r="D110" s="18" t="s">
        <v>118</v>
      </c>
      <c r="E110" s="19">
        <v>109829.55990017051</v>
      </c>
      <c r="F110" s="20" t="s">
        <v>15</v>
      </c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>
        <f t="shared" si="0"/>
        <v>0</v>
      </c>
      <c r="AM110" s="22">
        <f t="shared" si="1"/>
        <v>0</v>
      </c>
      <c r="AN110" s="23"/>
      <c r="AO110" s="23"/>
      <c r="AP110" s="23"/>
    </row>
    <row r="111" spans="1:42" ht="12.75" customHeight="1" x14ac:dyDescent="0.25">
      <c r="A111" s="17">
        <v>6</v>
      </c>
      <c r="B111" s="18" t="s">
        <v>119</v>
      </c>
      <c r="C111" s="18">
        <v>16</v>
      </c>
      <c r="D111" s="18" t="s">
        <v>120</v>
      </c>
      <c r="E111" s="19">
        <v>67118.064383437537</v>
      </c>
      <c r="F111" s="20" t="s">
        <v>15</v>
      </c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>
        <f t="shared" si="0"/>
        <v>0</v>
      </c>
      <c r="AM111" s="22">
        <f t="shared" si="1"/>
        <v>0</v>
      </c>
      <c r="AN111" s="23"/>
      <c r="AO111" s="23"/>
      <c r="AP111" s="23"/>
    </row>
    <row r="112" spans="1:42" ht="12.75" customHeight="1" x14ac:dyDescent="0.25">
      <c r="A112" s="17"/>
      <c r="B112" s="18"/>
      <c r="C112" s="18">
        <v>16</v>
      </c>
      <c r="D112" s="18" t="s">
        <v>121</v>
      </c>
      <c r="E112" s="19">
        <v>92932.704530913514</v>
      </c>
      <c r="F112" s="20" t="s">
        <v>15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>
        <f t="shared" si="0"/>
        <v>0</v>
      </c>
      <c r="AM112" s="22">
        <f t="shared" si="1"/>
        <v>0</v>
      </c>
      <c r="AN112" s="23"/>
      <c r="AO112" s="23"/>
      <c r="AP112" s="23"/>
    </row>
    <row r="113" spans="1:42" ht="12.75" customHeight="1" x14ac:dyDescent="0.25">
      <c r="A113" s="17"/>
      <c r="B113" s="18"/>
      <c r="C113" s="18">
        <v>16</v>
      </c>
      <c r="D113" s="18" t="s">
        <v>122</v>
      </c>
      <c r="E113" s="19">
        <v>109829.55990017051</v>
      </c>
      <c r="F113" s="20" t="s">
        <v>15</v>
      </c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>
        <f t="shared" si="0"/>
        <v>0</v>
      </c>
      <c r="AM113" s="22">
        <f t="shared" si="1"/>
        <v>0</v>
      </c>
      <c r="AN113" s="23"/>
      <c r="AO113" s="23"/>
      <c r="AP113" s="23"/>
    </row>
    <row r="114" spans="1:42" ht="12.75" customHeight="1" x14ac:dyDescent="0.25">
      <c r="A114" s="17">
        <v>7</v>
      </c>
      <c r="B114" s="18" t="s">
        <v>123</v>
      </c>
      <c r="C114" s="18">
        <v>16</v>
      </c>
      <c r="D114" s="18" t="s">
        <v>111</v>
      </c>
      <c r="E114" s="19">
        <v>201294.37834601966</v>
      </c>
      <c r="F114" s="20" t="s">
        <v>15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>
        <f t="shared" si="0"/>
        <v>0</v>
      </c>
      <c r="AM114" s="22">
        <f t="shared" si="1"/>
        <v>0</v>
      </c>
      <c r="AN114" s="23"/>
      <c r="AO114" s="23"/>
      <c r="AP114" s="23"/>
    </row>
    <row r="115" spans="1:42" ht="12.75" customHeight="1" x14ac:dyDescent="0.25">
      <c r="A115" s="17"/>
      <c r="B115" s="18"/>
      <c r="C115" s="18"/>
      <c r="D115" s="18"/>
      <c r="E115" s="19"/>
      <c r="F115" s="20" t="s">
        <v>15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>
        <f t="shared" si="0"/>
        <v>0</v>
      </c>
      <c r="AM115" s="22">
        <f t="shared" si="1"/>
        <v>0</v>
      </c>
      <c r="AN115" s="23"/>
      <c r="AO115" s="23"/>
      <c r="AP115" s="23"/>
    </row>
    <row r="116" spans="1:42" ht="12.75" customHeight="1" x14ac:dyDescent="0.25">
      <c r="A116" s="17" t="s">
        <v>124</v>
      </c>
      <c r="B116" s="18" t="s">
        <v>125</v>
      </c>
      <c r="C116" s="18"/>
      <c r="D116" s="18"/>
      <c r="E116" s="19"/>
      <c r="F116" s="20" t="s">
        <v>15</v>
      </c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>
        <f t="shared" si="0"/>
        <v>0</v>
      </c>
      <c r="AM116" s="22">
        <f t="shared" si="1"/>
        <v>0</v>
      </c>
      <c r="AN116" s="23"/>
      <c r="AO116" s="23"/>
      <c r="AP116" s="23"/>
    </row>
    <row r="117" spans="1:42" ht="12.75" customHeight="1" x14ac:dyDescent="0.25">
      <c r="A117" s="17">
        <v>1</v>
      </c>
      <c r="B117" s="18" t="s">
        <v>126</v>
      </c>
      <c r="C117" s="18">
        <v>16</v>
      </c>
      <c r="D117" s="18" t="s">
        <v>111</v>
      </c>
      <c r="E117" s="19">
        <v>229458.90733291159</v>
      </c>
      <c r="F117" s="20" t="s">
        <v>15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>
        <f t="shared" si="0"/>
        <v>0</v>
      </c>
      <c r="AM117" s="22">
        <f t="shared" si="1"/>
        <v>0</v>
      </c>
      <c r="AN117" s="23"/>
      <c r="AO117" s="23"/>
      <c r="AP117" s="23"/>
    </row>
    <row r="118" spans="1:42" ht="12.75" customHeight="1" x14ac:dyDescent="0.25">
      <c r="A118" s="17">
        <v>2</v>
      </c>
      <c r="B118" s="18" t="s">
        <v>127</v>
      </c>
      <c r="C118" s="18">
        <v>16</v>
      </c>
      <c r="D118" s="18" t="s">
        <v>111</v>
      </c>
      <c r="E118" s="19">
        <v>229458.90733291159</v>
      </c>
      <c r="F118" s="20" t="s">
        <v>15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>
        <f t="shared" si="0"/>
        <v>0</v>
      </c>
      <c r="AM118" s="22">
        <f t="shared" si="1"/>
        <v>0</v>
      </c>
      <c r="AN118" s="23"/>
      <c r="AO118" s="23"/>
      <c r="AP118" s="23"/>
    </row>
    <row r="119" spans="1:42" ht="12.75" customHeight="1" x14ac:dyDescent="0.25">
      <c r="A119" s="17">
        <v>3</v>
      </c>
      <c r="B119" s="18" t="s">
        <v>128</v>
      </c>
      <c r="C119" s="18">
        <v>16</v>
      </c>
      <c r="D119" s="18" t="s">
        <v>111</v>
      </c>
      <c r="E119" s="19">
        <v>221364.72017300525</v>
      </c>
      <c r="F119" s="20" t="s">
        <v>15</v>
      </c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>
        <f t="shared" si="0"/>
        <v>0</v>
      </c>
      <c r="AM119" s="22">
        <f t="shared" si="1"/>
        <v>0</v>
      </c>
      <c r="AN119" s="23"/>
      <c r="AO119" s="23"/>
      <c r="AP119" s="23"/>
    </row>
    <row r="120" spans="1:42" ht="12.75" customHeight="1" x14ac:dyDescent="0.25">
      <c r="A120" s="17">
        <v>4</v>
      </c>
      <c r="B120" s="18" t="s">
        <v>129</v>
      </c>
      <c r="C120" s="18">
        <v>16</v>
      </c>
      <c r="D120" s="18" t="s">
        <v>111</v>
      </c>
      <c r="E120" s="19">
        <v>266167.71723959281</v>
      </c>
      <c r="F120" s="20" t="s">
        <v>15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>
        <f t="shared" si="0"/>
        <v>0</v>
      </c>
      <c r="AM120" s="22">
        <f t="shared" si="1"/>
        <v>0</v>
      </c>
      <c r="AN120" s="23"/>
      <c r="AO120" s="23"/>
      <c r="AP120" s="23"/>
    </row>
    <row r="121" spans="1:42" ht="12.75" customHeight="1" x14ac:dyDescent="0.25">
      <c r="A121" s="17">
        <v>5</v>
      </c>
      <c r="B121" s="18" t="s">
        <v>130</v>
      </c>
      <c r="C121" s="18">
        <v>16</v>
      </c>
      <c r="D121" s="18" t="s">
        <v>111</v>
      </c>
      <c r="E121" s="19">
        <v>221699.43064052772</v>
      </c>
      <c r="F121" s="20" t="s">
        <v>15</v>
      </c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>
        <f t="shared" si="0"/>
        <v>0</v>
      </c>
      <c r="AM121" s="22">
        <f t="shared" si="1"/>
        <v>0</v>
      </c>
      <c r="AN121" s="23"/>
      <c r="AO121" s="23"/>
      <c r="AP121" s="23"/>
    </row>
    <row r="122" spans="1:42" ht="12.75" customHeight="1" x14ac:dyDescent="0.25">
      <c r="A122" s="17">
        <v>6</v>
      </c>
      <c r="B122" s="18" t="s">
        <v>131</v>
      </c>
      <c r="C122" s="18">
        <v>16</v>
      </c>
      <c r="D122" s="18" t="s">
        <v>111</v>
      </c>
      <c r="E122" s="19">
        <v>221699.43064052772</v>
      </c>
      <c r="F122" s="20" t="s">
        <v>15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>
        <v>1</v>
      </c>
      <c r="AD122" s="18"/>
      <c r="AE122" s="18"/>
      <c r="AF122" s="18"/>
      <c r="AG122" s="18"/>
      <c r="AH122" s="18"/>
      <c r="AI122" s="18"/>
      <c r="AJ122" s="18"/>
      <c r="AK122" s="18">
        <v>1</v>
      </c>
      <c r="AL122" s="18">
        <v>221699.43064052772</v>
      </c>
      <c r="AM122" s="22">
        <f t="shared" si="1"/>
        <v>49150637546.33416</v>
      </c>
      <c r="AN122" s="23"/>
      <c r="AO122" s="23"/>
      <c r="AP122" s="23"/>
    </row>
    <row r="123" spans="1:42" ht="12.75" customHeight="1" x14ac:dyDescent="0.25">
      <c r="A123" s="17"/>
      <c r="B123" s="18"/>
      <c r="C123" s="18"/>
      <c r="D123" s="18"/>
      <c r="E123" s="19"/>
      <c r="F123" s="20" t="s">
        <v>15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>
        <f t="shared" si="0"/>
        <v>0</v>
      </c>
      <c r="AM123" s="22">
        <f t="shared" si="1"/>
        <v>0</v>
      </c>
      <c r="AN123" s="23"/>
      <c r="AO123" s="23"/>
      <c r="AP123" s="23"/>
    </row>
    <row r="124" spans="1:42" ht="12.75" customHeight="1" x14ac:dyDescent="0.25">
      <c r="A124" s="17" t="s">
        <v>132</v>
      </c>
      <c r="B124" s="18" t="s">
        <v>133</v>
      </c>
      <c r="C124" s="18"/>
      <c r="D124" s="18"/>
      <c r="E124" s="19"/>
      <c r="F124" s="20" t="s">
        <v>15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>
        <f t="shared" si="0"/>
        <v>0</v>
      </c>
      <c r="AM124" s="22">
        <f t="shared" si="1"/>
        <v>0</v>
      </c>
      <c r="AN124" s="23"/>
      <c r="AO124" s="23"/>
      <c r="AP124" s="23"/>
    </row>
    <row r="125" spans="1:42" ht="12.75" customHeight="1" x14ac:dyDescent="0.25">
      <c r="A125" s="17">
        <v>1</v>
      </c>
      <c r="B125" s="18" t="s">
        <v>134</v>
      </c>
      <c r="C125" s="18">
        <v>16</v>
      </c>
      <c r="D125" s="18" t="s">
        <v>111</v>
      </c>
      <c r="E125" s="19">
        <v>214157.03020972843</v>
      </c>
      <c r="F125" s="20" t="s">
        <v>15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>
        <v>1</v>
      </c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>
        <v>1</v>
      </c>
      <c r="AL125" s="18">
        <v>214157.03020972843</v>
      </c>
      <c r="AM125" s="22">
        <f t="shared" si="1"/>
        <v>45863233588.250534</v>
      </c>
      <c r="AN125" s="23"/>
      <c r="AO125" s="23"/>
      <c r="AP125" s="23"/>
    </row>
    <row r="126" spans="1:42" ht="12.75" customHeight="1" x14ac:dyDescent="0.25">
      <c r="A126" s="17">
        <v>2</v>
      </c>
      <c r="B126" s="18" t="s">
        <v>135</v>
      </c>
      <c r="C126" s="18">
        <v>16</v>
      </c>
      <c r="D126" s="18" t="s">
        <v>111</v>
      </c>
      <c r="E126" s="19">
        <v>205227.73389533453</v>
      </c>
      <c r="F126" s="20" t="s">
        <v>15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>
        <f t="shared" si="0"/>
        <v>0</v>
      </c>
      <c r="AM126" s="22">
        <f t="shared" si="1"/>
        <v>0</v>
      </c>
      <c r="AN126" s="23"/>
      <c r="AO126" s="23"/>
      <c r="AP126" s="23"/>
    </row>
    <row r="127" spans="1:42" ht="12.75" customHeight="1" x14ac:dyDescent="0.25">
      <c r="A127" s="17">
        <v>3</v>
      </c>
      <c r="B127" s="18" t="s">
        <v>136</v>
      </c>
      <c r="C127" s="18">
        <v>16</v>
      </c>
      <c r="D127" s="18" t="s">
        <v>111</v>
      </c>
      <c r="E127" s="19">
        <v>554351.68263072672</v>
      </c>
      <c r="F127" s="20" t="s">
        <v>15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>
        <f t="shared" si="0"/>
        <v>0</v>
      </c>
      <c r="AM127" s="22">
        <f t="shared" si="1"/>
        <v>0</v>
      </c>
      <c r="AN127" s="23"/>
      <c r="AO127" s="23"/>
      <c r="AP127" s="23"/>
    </row>
    <row r="128" spans="1:42" ht="12.75" customHeight="1" x14ac:dyDescent="0.25">
      <c r="A128" s="17">
        <v>4</v>
      </c>
      <c r="B128" s="18" t="s">
        <v>137</v>
      </c>
      <c r="C128" s="18">
        <v>16</v>
      </c>
      <c r="D128" s="18" t="s">
        <v>111</v>
      </c>
      <c r="E128" s="19">
        <v>205227.73389533453</v>
      </c>
      <c r="F128" s="20" t="s">
        <v>15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>
        <f t="shared" si="0"/>
        <v>0</v>
      </c>
      <c r="AM128" s="22">
        <f t="shared" si="1"/>
        <v>0</v>
      </c>
      <c r="AN128" s="23"/>
      <c r="AO128" s="23"/>
      <c r="AP128" s="23"/>
    </row>
    <row r="129" spans="1:42" ht="12.75" customHeight="1" x14ac:dyDescent="0.25">
      <c r="A129" s="17">
        <v>5</v>
      </c>
      <c r="B129" s="18" t="s">
        <v>138</v>
      </c>
      <c r="C129" s="18">
        <v>16</v>
      </c>
      <c r="D129" s="18" t="s">
        <v>111</v>
      </c>
      <c r="E129" s="19">
        <v>614735.31153448834</v>
      </c>
      <c r="F129" s="20" t="s">
        <v>15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>
        <f t="shared" si="0"/>
        <v>0</v>
      </c>
      <c r="AM129" s="22">
        <f t="shared" si="1"/>
        <v>0</v>
      </c>
      <c r="AN129" s="23"/>
      <c r="AO129" s="23"/>
      <c r="AP129" s="23"/>
    </row>
    <row r="130" spans="1:42" ht="12.75" customHeight="1" x14ac:dyDescent="0.25">
      <c r="A130" s="17"/>
      <c r="B130" s="18"/>
      <c r="C130" s="18"/>
      <c r="D130" s="18"/>
      <c r="E130" s="19">
        <v>0</v>
      </c>
      <c r="F130" s="20" t="s">
        <v>15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>
        <f t="shared" si="0"/>
        <v>0</v>
      </c>
      <c r="AM130" s="22">
        <f t="shared" si="1"/>
        <v>0</v>
      </c>
      <c r="AN130" s="23"/>
      <c r="AO130" s="23"/>
      <c r="AP130" s="23"/>
    </row>
    <row r="131" spans="1:42" ht="12.75" customHeight="1" x14ac:dyDescent="0.25">
      <c r="A131" s="17" t="s">
        <v>139</v>
      </c>
      <c r="B131" s="18" t="s">
        <v>140</v>
      </c>
      <c r="C131" s="18"/>
      <c r="D131" s="18"/>
      <c r="E131" s="19">
        <v>0</v>
      </c>
      <c r="F131" s="20" t="s">
        <v>15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>
        <f t="shared" si="0"/>
        <v>0</v>
      </c>
      <c r="AM131" s="22">
        <f t="shared" si="1"/>
        <v>0</v>
      </c>
      <c r="AN131" s="23"/>
      <c r="AO131" s="23"/>
      <c r="AP131" s="23"/>
    </row>
    <row r="132" spans="1:42" ht="12.75" customHeight="1" x14ac:dyDescent="0.25">
      <c r="A132" s="17">
        <v>1</v>
      </c>
      <c r="B132" s="18" t="s">
        <v>141</v>
      </c>
      <c r="C132" s="18">
        <v>16</v>
      </c>
      <c r="D132" s="18" t="s">
        <v>56</v>
      </c>
      <c r="E132" s="19">
        <v>109868.85191153314</v>
      </c>
      <c r="F132" s="20" t="s">
        <v>15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>
        <f t="shared" si="0"/>
        <v>0</v>
      </c>
      <c r="AM132" s="22">
        <f t="shared" si="1"/>
        <v>0</v>
      </c>
      <c r="AN132" s="23"/>
      <c r="AO132" s="23"/>
      <c r="AP132" s="23"/>
    </row>
    <row r="133" spans="1:42" ht="12.75" customHeight="1" x14ac:dyDescent="0.25">
      <c r="A133" s="17">
        <v>2</v>
      </c>
      <c r="B133" s="18" t="s">
        <v>142</v>
      </c>
      <c r="C133" s="18">
        <v>16</v>
      </c>
      <c r="D133" s="18" t="s">
        <v>56</v>
      </c>
      <c r="E133" s="19">
        <v>134613.73440702536</v>
      </c>
      <c r="F133" s="20" t="s">
        <v>15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>
        <v>1</v>
      </c>
      <c r="AI133" s="18"/>
      <c r="AJ133" s="18"/>
      <c r="AK133" s="18">
        <v>1</v>
      </c>
      <c r="AL133" s="18">
        <v>134613.73440702536</v>
      </c>
      <c r="AM133" s="22">
        <f t="shared" si="1"/>
        <v>18120857491.005165</v>
      </c>
      <c r="AN133" s="23"/>
      <c r="AO133" s="23"/>
      <c r="AP133" s="23"/>
    </row>
    <row r="134" spans="1:42" ht="12.75" customHeight="1" x14ac:dyDescent="0.25">
      <c r="A134" s="17">
        <v>3</v>
      </c>
      <c r="B134" s="18" t="s">
        <v>143</v>
      </c>
      <c r="C134" s="18">
        <v>16</v>
      </c>
      <c r="D134" s="18" t="s">
        <v>56</v>
      </c>
      <c r="E134" s="19">
        <v>151097.9275967924</v>
      </c>
      <c r="F134" s="20" t="s">
        <v>15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>
        <f t="shared" si="0"/>
        <v>0</v>
      </c>
      <c r="AM134" s="22">
        <f t="shared" si="1"/>
        <v>0</v>
      </c>
      <c r="AN134" s="23"/>
      <c r="AO134" s="23"/>
      <c r="AP134" s="23"/>
    </row>
    <row r="135" spans="1:42" ht="12.75" customHeight="1" x14ac:dyDescent="0.25">
      <c r="A135" s="17">
        <v>4</v>
      </c>
      <c r="B135" s="18" t="s">
        <v>144</v>
      </c>
      <c r="C135" s="18">
        <v>16</v>
      </c>
      <c r="D135" s="18" t="s">
        <v>56</v>
      </c>
      <c r="E135" s="19">
        <v>151250.79377419141</v>
      </c>
      <c r="F135" s="20" t="s">
        <v>15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>
        <f t="shared" si="0"/>
        <v>0</v>
      </c>
      <c r="AM135" s="22">
        <f t="shared" si="1"/>
        <v>0</v>
      </c>
      <c r="AN135" s="23"/>
      <c r="AO135" s="23"/>
      <c r="AP135" s="23"/>
    </row>
    <row r="136" spans="1:42" ht="12.75" customHeight="1" x14ac:dyDescent="0.25">
      <c r="A136" s="17">
        <v>5</v>
      </c>
      <c r="B136" s="18" t="s">
        <v>145</v>
      </c>
      <c r="C136" s="18">
        <v>16</v>
      </c>
      <c r="D136" s="18" t="s">
        <v>56</v>
      </c>
      <c r="E136" s="19">
        <v>110019.14386516032</v>
      </c>
      <c r="F136" s="20" t="s">
        <v>15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>
        <f t="shared" si="0"/>
        <v>0</v>
      </c>
      <c r="AM136" s="22">
        <f t="shared" si="1"/>
        <v>0</v>
      </c>
      <c r="AN136" s="23"/>
      <c r="AO136" s="23"/>
      <c r="AP136" s="23"/>
    </row>
    <row r="137" spans="1:42" ht="12.75" customHeight="1" x14ac:dyDescent="0.25">
      <c r="A137" s="17">
        <v>6</v>
      </c>
      <c r="B137" s="18" t="s">
        <v>146</v>
      </c>
      <c r="C137" s="18">
        <v>16</v>
      </c>
      <c r="D137" s="18" t="s">
        <v>56</v>
      </c>
      <c r="E137" s="19">
        <v>109839.66268977006</v>
      </c>
      <c r="F137" s="20" t="s">
        <v>15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>
        <f t="shared" si="0"/>
        <v>0</v>
      </c>
      <c r="AM137" s="22">
        <f t="shared" si="1"/>
        <v>0</v>
      </c>
      <c r="AN137" s="23"/>
      <c r="AO137" s="23"/>
      <c r="AP137" s="23"/>
    </row>
    <row r="138" spans="1:42" ht="12.75" customHeight="1" x14ac:dyDescent="0.25">
      <c r="A138" s="17">
        <v>7</v>
      </c>
      <c r="B138" s="18" t="s">
        <v>147</v>
      </c>
      <c r="C138" s="18">
        <v>16</v>
      </c>
      <c r="D138" s="18" t="s">
        <v>56</v>
      </c>
      <c r="E138" s="19">
        <v>242175.29258289817</v>
      </c>
      <c r="F138" s="20" t="s">
        <v>15</v>
      </c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>
        <f t="shared" si="0"/>
        <v>0</v>
      </c>
      <c r="AM138" s="22">
        <f t="shared" si="1"/>
        <v>0</v>
      </c>
      <c r="AN138" s="23"/>
      <c r="AO138" s="23"/>
      <c r="AP138" s="23"/>
    </row>
    <row r="139" spans="1:42" ht="12.75" customHeight="1" x14ac:dyDescent="0.25">
      <c r="A139" s="17"/>
      <c r="B139" s="18"/>
      <c r="C139" s="18"/>
      <c r="D139" s="18"/>
      <c r="E139" s="19"/>
      <c r="F139" s="20" t="s">
        <v>15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>
        <f t="shared" si="0"/>
        <v>0</v>
      </c>
      <c r="AM139" s="22">
        <f t="shared" si="1"/>
        <v>0</v>
      </c>
      <c r="AN139" s="23"/>
      <c r="AO139" s="23"/>
      <c r="AP139" s="23"/>
    </row>
    <row r="140" spans="1:42" ht="12.75" customHeight="1" x14ac:dyDescent="0.25">
      <c r="A140" s="17" t="s">
        <v>148</v>
      </c>
      <c r="B140" s="18" t="s">
        <v>149</v>
      </c>
      <c r="C140" s="18"/>
      <c r="D140" s="18"/>
      <c r="E140" s="19"/>
      <c r="F140" s="20" t="s">
        <v>15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>
        <f t="shared" si="0"/>
        <v>0</v>
      </c>
      <c r="AM140" s="22">
        <f t="shared" si="1"/>
        <v>0</v>
      </c>
      <c r="AN140" s="23"/>
      <c r="AO140" s="23"/>
      <c r="AP140" s="23"/>
    </row>
    <row r="141" spans="1:42" ht="12.75" customHeight="1" x14ac:dyDescent="0.25">
      <c r="A141" s="17">
        <v>1</v>
      </c>
      <c r="B141" s="18" t="s">
        <v>150</v>
      </c>
      <c r="C141" s="18">
        <v>16</v>
      </c>
      <c r="D141" s="18" t="s">
        <v>151</v>
      </c>
      <c r="E141" s="19">
        <v>174706.60496457809</v>
      </c>
      <c r="F141" s="20" t="s">
        <v>15</v>
      </c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>
        <f t="shared" si="0"/>
        <v>0</v>
      </c>
      <c r="AM141" s="22">
        <f t="shared" si="1"/>
        <v>0</v>
      </c>
      <c r="AN141" s="23"/>
      <c r="AO141" s="23"/>
      <c r="AP141" s="23"/>
    </row>
    <row r="142" spans="1:42" ht="12.75" customHeight="1" x14ac:dyDescent="0.25">
      <c r="A142" s="17">
        <v>2</v>
      </c>
      <c r="B142" s="18" t="s">
        <v>152</v>
      </c>
      <c r="C142" s="18">
        <v>16</v>
      </c>
      <c r="D142" s="18" t="s">
        <v>151</v>
      </c>
      <c r="E142" s="19">
        <v>174706.60496457809</v>
      </c>
      <c r="F142" s="20" t="s">
        <v>15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>
        <v>1</v>
      </c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>
        <v>1</v>
      </c>
      <c r="AL142" s="18">
        <v>174706.60496457809</v>
      </c>
      <c r="AM142" s="22">
        <f t="shared" si="1"/>
        <v>30522397818.249142</v>
      </c>
      <c r="AN142" s="23"/>
      <c r="AO142" s="23"/>
      <c r="AP142" s="23"/>
    </row>
    <row r="143" spans="1:42" ht="12.75" customHeight="1" x14ac:dyDescent="0.25">
      <c r="A143" s="17">
        <v>3</v>
      </c>
      <c r="B143" s="18" t="s">
        <v>153</v>
      </c>
      <c r="C143" s="18">
        <v>16</v>
      </c>
      <c r="D143" s="18" t="s">
        <v>151</v>
      </c>
      <c r="E143" s="19">
        <v>305711.24271578941</v>
      </c>
      <c r="F143" s="20" t="s">
        <v>15</v>
      </c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>
        <v>1</v>
      </c>
      <c r="X143" s="18">
        <v>1</v>
      </c>
      <c r="Y143" s="18"/>
      <c r="Z143" s="18">
        <v>1</v>
      </c>
      <c r="AA143" s="18">
        <v>1</v>
      </c>
      <c r="AB143" s="18"/>
      <c r="AC143" s="18"/>
      <c r="AD143" s="18"/>
      <c r="AE143" s="18">
        <v>2</v>
      </c>
      <c r="AF143" s="18"/>
      <c r="AG143" s="18"/>
      <c r="AH143" s="18">
        <v>1</v>
      </c>
      <c r="AI143" s="18">
        <v>1</v>
      </c>
      <c r="AJ143" s="18"/>
      <c r="AK143" s="18">
        <v>8</v>
      </c>
      <c r="AL143" s="18">
        <v>2445689.9417263153</v>
      </c>
      <c r="AM143" s="22">
        <f t="shared" si="1"/>
        <v>747674911382.65845</v>
      </c>
      <c r="AN143" s="23"/>
      <c r="AO143" s="23"/>
      <c r="AP143" s="23"/>
    </row>
    <row r="144" spans="1:42" ht="12.75" customHeight="1" x14ac:dyDescent="0.25">
      <c r="A144" s="17">
        <v>4</v>
      </c>
      <c r="B144" s="18" t="s">
        <v>154</v>
      </c>
      <c r="C144" s="18">
        <v>16</v>
      </c>
      <c r="D144" s="18" t="s">
        <v>151</v>
      </c>
      <c r="E144" s="19">
        <v>174713.86416371228</v>
      </c>
      <c r="F144" s="20" t="s">
        <v>15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>
        <v>1</v>
      </c>
      <c r="U144" s="18"/>
      <c r="V144" s="18"/>
      <c r="W144" s="18"/>
      <c r="X144" s="18">
        <v>1</v>
      </c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>
        <v>2</v>
      </c>
      <c r="AL144" s="18">
        <v>349427.72832742456</v>
      </c>
      <c r="AM144" s="22">
        <f t="shared" si="1"/>
        <v>61049868662.032211</v>
      </c>
      <c r="AN144" s="23"/>
      <c r="AO144" s="23"/>
      <c r="AP144" s="23"/>
    </row>
    <row r="145" spans="1:42" ht="12.75" customHeight="1" x14ac:dyDescent="0.25">
      <c r="A145" s="17">
        <v>5</v>
      </c>
      <c r="B145" s="18" t="s">
        <v>155</v>
      </c>
      <c r="C145" s="18">
        <v>16</v>
      </c>
      <c r="D145" s="18" t="s">
        <v>151</v>
      </c>
      <c r="E145" s="19">
        <v>152874.63114324823</v>
      </c>
      <c r="F145" s="20" t="s">
        <v>15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>
        <f t="shared" si="0"/>
        <v>0</v>
      </c>
      <c r="AM145" s="22">
        <f t="shared" si="1"/>
        <v>0</v>
      </c>
      <c r="AN145" s="23"/>
      <c r="AO145" s="23"/>
      <c r="AP145" s="23"/>
    </row>
    <row r="146" spans="1:42" ht="12.75" customHeight="1" x14ac:dyDescent="0.25">
      <c r="A146" s="17">
        <v>6</v>
      </c>
      <c r="B146" s="18" t="s">
        <v>156</v>
      </c>
      <c r="C146" s="18">
        <v>16</v>
      </c>
      <c r="D146" s="18" t="s">
        <v>151</v>
      </c>
      <c r="E146" s="19">
        <v>611355.12495178089</v>
      </c>
      <c r="F146" s="20" t="s">
        <v>15</v>
      </c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>
        <v>1</v>
      </c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>
        <v>1</v>
      </c>
      <c r="AL146" s="18">
        <v>611355.12495178089</v>
      </c>
      <c r="AM146" s="22">
        <f t="shared" si="1"/>
        <v>373755088804.80762</v>
      </c>
      <c r="AN146" s="23"/>
      <c r="AO146" s="23"/>
      <c r="AP146" s="23"/>
    </row>
    <row r="147" spans="1:42" ht="12.75" customHeight="1" x14ac:dyDescent="0.25">
      <c r="A147" s="17">
        <v>7</v>
      </c>
      <c r="B147" s="18" t="s">
        <v>157</v>
      </c>
      <c r="C147" s="18">
        <v>16</v>
      </c>
      <c r="D147" s="18" t="s">
        <v>151</v>
      </c>
      <c r="E147" s="19">
        <v>407591.01638199529</v>
      </c>
      <c r="F147" s="20" t="s">
        <v>15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>
        <f t="shared" si="0"/>
        <v>0</v>
      </c>
      <c r="AM147" s="22">
        <f t="shared" si="1"/>
        <v>0</v>
      </c>
      <c r="AN147" s="23"/>
      <c r="AO147" s="23"/>
      <c r="AP147" s="23"/>
    </row>
    <row r="148" spans="1:42" ht="12.75" customHeight="1" x14ac:dyDescent="0.25">
      <c r="A148" s="17"/>
      <c r="B148" s="18"/>
      <c r="C148" s="18"/>
      <c r="D148" s="18"/>
      <c r="E148" s="19"/>
      <c r="F148" s="20" t="s">
        <v>15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>
        <f t="shared" si="0"/>
        <v>0</v>
      </c>
      <c r="AM148" s="22">
        <f t="shared" si="1"/>
        <v>0</v>
      </c>
      <c r="AN148" s="23"/>
      <c r="AO148" s="23"/>
      <c r="AP148" s="23"/>
    </row>
    <row r="149" spans="1:42" ht="12.75" customHeight="1" x14ac:dyDescent="0.25">
      <c r="A149" s="17" t="s">
        <v>158</v>
      </c>
      <c r="B149" s="18" t="s">
        <v>159</v>
      </c>
      <c r="C149" s="18"/>
      <c r="D149" s="18"/>
      <c r="E149" s="19"/>
      <c r="F149" s="20" t="s">
        <v>15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>
        <f t="shared" si="0"/>
        <v>0</v>
      </c>
      <c r="AM149" s="22">
        <f t="shared" si="1"/>
        <v>0</v>
      </c>
      <c r="AN149" s="23"/>
      <c r="AO149" s="23"/>
      <c r="AP149" s="23"/>
    </row>
    <row r="150" spans="1:42" ht="12.75" customHeight="1" x14ac:dyDescent="0.25">
      <c r="A150" s="17">
        <v>1</v>
      </c>
      <c r="B150" s="18" t="s">
        <v>160</v>
      </c>
      <c r="C150" s="18">
        <v>16</v>
      </c>
      <c r="D150" s="18" t="s">
        <v>111</v>
      </c>
      <c r="E150" s="19">
        <v>54441.338116854662</v>
      </c>
      <c r="F150" s="20" t="s">
        <v>15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>
        <f t="shared" si="0"/>
        <v>0</v>
      </c>
      <c r="AM150" s="22">
        <f t="shared" si="1"/>
        <v>0</v>
      </c>
      <c r="AN150" s="23"/>
      <c r="AO150" s="23"/>
      <c r="AP150" s="23"/>
    </row>
    <row r="151" spans="1:42" ht="12.75" customHeight="1" x14ac:dyDescent="0.25">
      <c r="A151" s="17">
        <v>2</v>
      </c>
      <c r="B151" s="18" t="s">
        <v>161</v>
      </c>
      <c r="C151" s="18">
        <v>16</v>
      </c>
      <c r="D151" s="18" t="s">
        <v>111</v>
      </c>
      <c r="E151" s="19">
        <v>75381.639567300226</v>
      </c>
      <c r="F151" s="20" t="s">
        <v>15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>
        <f t="shared" si="0"/>
        <v>0</v>
      </c>
      <c r="AM151" s="22">
        <f t="shared" si="1"/>
        <v>0</v>
      </c>
      <c r="AN151" s="23"/>
      <c r="AO151" s="23"/>
      <c r="AP151" s="23"/>
    </row>
    <row r="152" spans="1:42" ht="12.75" customHeight="1" x14ac:dyDescent="0.25">
      <c r="A152" s="17">
        <v>3</v>
      </c>
      <c r="B152" s="18" t="s">
        <v>162</v>
      </c>
      <c r="C152" s="18">
        <v>16</v>
      </c>
      <c r="D152" s="18" t="s">
        <v>163</v>
      </c>
      <c r="E152" s="19">
        <v>56540.534744525052</v>
      </c>
      <c r="F152" s="20" t="s">
        <v>15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>
        <f t="shared" si="0"/>
        <v>0</v>
      </c>
      <c r="AM152" s="22">
        <f t="shared" si="1"/>
        <v>0</v>
      </c>
      <c r="AN152" s="23"/>
      <c r="AO152" s="23"/>
      <c r="AP152" s="23"/>
    </row>
    <row r="153" spans="1:42" ht="12.75" customHeight="1" x14ac:dyDescent="0.25">
      <c r="A153" s="17"/>
      <c r="B153" s="18"/>
      <c r="C153" s="18">
        <v>16</v>
      </c>
      <c r="D153" s="18" t="s">
        <v>164</v>
      </c>
      <c r="E153" s="19">
        <v>70675.668430656311</v>
      </c>
      <c r="F153" s="20" t="s">
        <v>15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>
        <f t="shared" si="0"/>
        <v>0</v>
      </c>
      <c r="AM153" s="22">
        <f t="shared" si="1"/>
        <v>0</v>
      </c>
      <c r="AN153" s="23"/>
      <c r="AO153" s="23"/>
      <c r="AP153" s="23"/>
    </row>
    <row r="154" spans="1:42" ht="12.75" customHeight="1" x14ac:dyDescent="0.25">
      <c r="A154" s="17"/>
      <c r="B154" s="18"/>
      <c r="C154" s="18">
        <v>16</v>
      </c>
      <c r="D154" s="18" t="s">
        <v>165</v>
      </c>
      <c r="E154" s="19">
        <v>80772.192492178641</v>
      </c>
      <c r="F154" s="20" t="s">
        <v>15</v>
      </c>
      <c r="G154" s="18"/>
      <c r="H154" s="18"/>
      <c r="I154" s="18"/>
      <c r="J154" s="18"/>
      <c r="K154" s="18"/>
      <c r="L154" s="18"/>
      <c r="M154" s="18">
        <v>1</v>
      </c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>
        <v>1</v>
      </c>
      <c r="AL154" s="18">
        <v>80772.192492178641</v>
      </c>
      <c r="AM154" s="22">
        <f t="shared" si="1"/>
        <v>6524147079.9935598</v>
      </c>
      <c r="AN154" s="23"/>
      <c r="AO154" s="23"/>
      <c r="AP154" s="23"/>
    </row>
    <row r="155" spans="1:42" ht="12.75" customHeight="1" x14ac:dyDescent="0.25">
      <c r="A155" s="17">
        <v>4</v>
      </c>
      <c r="B155" s="18" t="s">
        <v>166</v>
      </c>
      <c r="C155" s="18">
        <v>16</v>
      </c>
      <c r="D155" s="18" t="s">
        <v>163</v>
      </c>
      <c r="E155" s="19">
        <v>56540.534744525052</v>
      </c>
      <c r="F155" s="20" t="s">
        <v>15</v>
      </c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>
        <f t="shared" si="0"/>
        <v>0</v>
      </c>
      <c r="AM155" s="22">
        <f t="shared" si="1"/>
        <v>0</v>
      </c>
      <c r="AN155" s="23"/>
      <c r="AO155" s="23"/>
      <c r="AP155" s="23"/>
    </row>
    <row r="156" spans="1:42" ht="12.75" customHeight="1" x14ac:dyDescent="0.25">
      <c r="A156" s="17"/>
      <c r="B156" s="18"/>
      <c r="C156" s="18">
        <v>16</v>
      </c>
      <c r="D156" s="18" t="s">
        <v>164</v>
      </c>
      <c r="E156" s="19">
        <v>70675.668430656311</v>
      </c>
      <c r="F156" s="20" t="s">
        <v>15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>
        <f t="shared" si="0"/>
        <v>0</v>
      </c>
      <c r="AM156" s="22">
        <f t="shared" si="1"/>
        <v>0</v>
      </c>
      <c r="AN156" s="23"/>
      <c r="AO156" s="23"/>
      <c r="AP156" s="23"/>
    </row>
    <row r="157" spans="1:42" ht="12.75" customHeight="1" x14ac:dyDescent="0.25">
      <c r="A157" s="17"/>
      <c r="B157" s="18"/>
      <c r="C157" s="18">
        <v>16</v>
      </c>
      <c r="D157" s="18" t="s">
        <v>165</v>
      </c>
      <c r="E157" s="19">
        <v>80772.192492178641</v>
      </c>
      <c r="F157" s="20" t="s">
        <v>15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>
        <f t="shared" si="0"/>
        <v>0</v>
      </c>
      <c r="AM157" s="22">
        <f t="shared" si="1"/>
        <v>0</v>
      </c>
      <c r="AN157" s="23"/>
      <c r="AO157" s="23"/>
      <c r="AP157" s="23"/>
    </row>
    <row r="158" spans="1:42" ht="12.75" customHeight="1" x14ac:dyDescent="0.25">
      <c r="A158" s="17">
        <v>5</v>
      </c>
      <c r="B158" s="18" t="s">
        <v>167</v>
      </c>
      <c r="C158" s="18">
        <v>16</v>
      </c>
      <c r="D158" s="18" t="s">
        <v>163</v>
      </c>
      <c r="E158" s="19">
        <v>62818.371938361168</v>
      </c>
      <c r="F158" s="20" t="s">
        <v>15</v>
      </c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>
        <f t="shared" si="0"/>
        <v>0</v>
      </c>
      <c r="AM158" s="22">
        <f t="shared" si="1"/>
        <v>0</v>
      </c>
      <c r="AN158" s="23"/>
      <c r="AO158" s="23"/>
      <c r="AP158" s="23"/>
    </row>
    <row r="159" spans="1:42" ht="12.75" customHeight="1" x14ac:dyDescent="0.25">
      <c r="A159" s="17"/>
      <c r="B159" s="18"/>
      <c r="C159" s="18">
        <v>16</v>
      </c>
      <c r="D159" s="18" t="s">
        <v>164</v>
      </c>
      <c r="E159" s="19">
        <v>86979.284222346236</v>
      </c>
      <c r="F159" s="20" t="s">
        <v>15</v>
      </c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>
        <f t="shared" si="0"/>
        <v>0</v>
      </c>
      <c r="AM159" s="22">
        <f t="shared" si="1"/>
        <v>0</v>
      </c>
      <c r="AN159" s="23"/>
      <c r="AO159" s="23"/>
      <c r="AP159" s="23"/>
    </row>
    <row r="160" spans="1:42" ht="12.75" customHeight="1" x14ac:dyDescent="0.25">
      <c r="A160" s="17"/>
      <c r="B160" s="18"/>
      <c r="C160" s="18">
        <v>16</v>
      </c>
      <c r="D160" s="18" t="s">
        <v>165</v>
      </c>
      <c r="E160" s="19">
        <v>102793.69953550008</v>
      </c>
      <c r="F160" s="20" t="s">
        <v>15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>
        <f t="shared" si="0"/>
        <v>0</v>
      </c>
      <c r="AM160" s="22">
        <f t="shared" si="1"/>
        <v>0</v>
      </c>
      <c r="AN160" s="23"/>
      <c r="AO160" s="23"/>
      <c r="AP160" s="23"/>
    </row>
    <row r="161" spans="1:42" ht="12.75" customHeight="1" x14ac:dyDescent="0.25">
      <c r="A161" s="17">
        <v>6</v>
      </c>
      <c r="B161" s="18" t="s">
        <v>168</v>
      </c>
      <c r="C161" s="18">
        <v>16</v>
      </c>
      <c r="D161" s="18" t="s">
        <v>56</v>
      </c>
      <c r="E161" s="19">
        <v>53868.07770281846</v>
      </c>
      <c r="F161" s="20" t="s">
        <v>15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>
        <f t="shared" si="0"/>
        <v>0</v>
      </c>
      <c r="AM161" s="22">
        <f t="shared" si="1"/>
        <v>0</v>
      </c>
      <c r="AN161" s="23"/>
      <c r="AO161" s="23"/>
      <c r="AP161" s="23"/>
    </row>
    <row r="162" spans="1:42" ht="12.75" customHeight="1" x14ac:dyDescent="0.25">
      <c r="A162" s="17">
        <v>7</v>
      </c>
      <c r="B162" s="18" t="s">
        <v>169</v>
      </c>
      <c r="C162" s="18">
        <v>16</v>
      </c>
      <c r="D162" s="18" t="s">
        <v>163</v>
      </c>
      <c r="E162" s="19">
        <v>56540.534744525052</v>
      </c>
      <c r="F162" s="20" t="s">
        <v>15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>
        <v>36</v>
      </c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>
        <v>36</v>
      </c>
      <c r="AL162" s="18">
        <v>2035459.2508028999</v>
      </c>
      <c r="AM162" s="22">
        <f t="shared" si="1"/>
        <v>115085954491.08629</v>
      </c>
      <c r="AN162" s="23"/>
      <c r="AO162" s="23"/>
      <c r="AP162" s="23"/>
    </row>
    <row r="163" spans="1:42" ht="12.75" customHeight="1" x14ac:dyDescent="0.25">
      <c r="A163" s="17"/>
      <c r="B163" s="18"/>
      <c r="C163" s="18">
        <v>16</v>
      </c>
      <c r="D163" s="18" t="s">
        <v>164</v>
      </c>
      <c r="E163" s="19">
        <v>70675.668430656311</v>
      </c>
      <c r="F163" s="20" t="s">
        <v>15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>
        <f t="shared" si="0"/>
        <v>0</v>
      </c>
      <c r="AM163" s="22">
        <f t="shared" si="1"/>
        <v>0</v>
      </c>
      <c r="AN163" s="23"/>
      <c r="AO163" s="23"/>
      <c r="AP163" s="23"/>
    </row>
    <row r="164" spans="1:42" ht="12.75" customHeight="1" x14ac:dyDescent="0.25">
      <c r="A164" s="17"/>
      <c r="B164" s="18"/>
      <c r="C164" s="18">
        <v>16</v>
      </c>
      <c r="D164" s="18" t="s">
        <v>165</v>
      </c>
      <c r="E164" s="19">
        <v>80772.192492178641</v>
      </c>
      <c r="F164" s="20" t="s">
        <v>15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>
        <f t="shared" si="0"/>
        <v>0</v>
      </c>
      <c r="AM164" s="22">
        <f t="shared" si="1"/>
        <v>0</v>
      </c>
      <c r="AN164" s="23"/>
      <c r="AO164" s="23"/>
      <c r="AP164" s="23"/>
    </row>
    <row r="165" spans="1:42" ht="12.75" customHeight="1" x14ac:dyDescent="0.25">
      <c r="A165" s="17">
        <v>8</v>
      </c>
      <c r="B165" s="18" t="s">
        <v>170</v>
      </c>
      <c r="C165" s="18">
        <v>16</v>
      </c>
      <c r="D165" s="18" t="s">
        <v>171</v>
      </c>
      <c r="E165" s="19">
        <v>62843.261230545155</v>
      </c>
      <c r="F165" s="20" t="s">
        <v>15</v>
      </c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>
        <f t="shared" si="0"/>
        <v>0</v>
      </c>
      <c r="AM165" s="22">
        <f t="shared" si="1"/>
        <v>0</v>
      </c>
      <c r="AN165" s="23"/>
      <c r="AO165" s="23"/>
      <c r="AP165" s="23"/>
    </row>
    <row r="166" spans="1:42" ht="12.75" customHeight="1" x14ac:dyDescent="0.25">
      <c r="A166" s="17"/>
      <c r="B166" s="18"/>
      <c r="C166" s="18">
        <v>16</v>
      </c>
      <c r="D166" s="18" t="s">
        <v>172</v>
      </c>
      <c r="E166" s="19">
        <v>87013.74631921637</v>
      </c>
      <c r="F166" s="20" t="s">
        <v>15</v>
      </c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>
        <f t="shared" si="0"/>
        <v>0</v>
      </c>
      <c r="AM166" s="22">
        <f t="shared" si="1"/>
        <v>0</v>
      </c>
      <c r="AN166" s="23"/>
      <c r="AO166" s="23"/>
      <c r="AP166" s="23"/>
    </row>
    <row r="167" spans="1:42" ht="12.75" customHeight="1" x14ac:dyDescent="0.25">
      <c r="A167" s="17"/>
      <c r="B167" s="18"/>
      <c r="C167" s="18">
        <v>16</v>
      </c>
      <c r="D167" s="18" t="s">
        <v>173</v>
      </c>
      <c r="E167" s="19">
        <v>102834.42746816481</v>
      </c>
      <c r="F167" s="20" t="s">
        <v>15</v>
      </c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>
        <f t="shared" si="0"/>
        <v>0</v>
      </c>
      <c r="AM167" s="22">
        <f t="shared" si="1"/>
        <v>0</v>
      </c>
      <c r="AN167" s="23"/>
      <c r="AO167" s="23"/>
      <c r="AP167" s="23"/>
    </row>
    <row r="168" spans="1:42" ht="12.75" customHeight="1" x14ac:dyDescent="0.25">
      <c r="A168" s="17">
        <v>9</v>
      </c>
      <c r="B168" s="18" t="s">
        <v>174</v>
      </c>
      <c r="C168" s="18">
        <v>16</v>
      </c>
      <c r="D168" s="18" t="s">
        <v>171</v>
      </c>
      <c r="E168" s="19">
        <v>62843.261230545155</v>
      </c>
      <c r="F168" s="20" t="s">
        <v>15</v>
      </c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>
        <f t="shared" si="0"/>
        <v>0</v>
      </c>
      <c r="AM168" s="22">
        <f t="shared" si="1"/>
        <v>0</v>
      </c>
      <c r="AN168" s="23"/>
      <c r="AO168" s="23"/>
      <c r="AP168" s="23"/>
    </row>
    <row r="169" spans="1:42" ht="12.75" customHeight="1" x14ac:dyDescent="0.25">
      <c r="A169" s="17"/>
      <c r="B169" s="18"/>
      <c r="C169" s="18">
        <v>16</v>
      </c>
      <c r="D169" s="18" t="s">
        <v>172</v>
      </c>
      <c r="E169" s="19">
        <v>87013.74631921637</v>
      </c>
      <c r="F169" s="20" t="s">
        <v>15</v>
      </c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>
        <f t="shared" si="0"/>
        <v>0</v>
      </c>
      <c r="AM169" s="22">
        <f t="shared" si="1"/>
        <v>0</v>
      </c>
      <c r="AN169" s="23"/>
      <c r="AO169" s="23"/>
      <c r="AP169" s="23"/>
    </row>
    <row r="170" spans="1:42" ht="12.75" customHeight="1" x14ac:dyDescent="0.25">
      <c r="A170" s="17"/>
      <c r="B170" s="18"/>
      <c r="C170" s="18">
        <v>16</v>
      </c>
      <c r="D170" s="18" t="s">
        <v>173</v>
      </c>
      <c r="E170" s="19">
        <v>102834.42746816481</v>
      </c>
      <c r="F170" s="20" t="s">
        <v>15</v>
      </c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>
        <f t="shared" si="0"/>
        <v>0</v>
      </c>
      <c r="AM170" s="22">
        <f t="shared" si="1"/>
        <v>0</v>
      </c>
      <c r="AN170" s="23"/>
      <c r="AO170" s="23"/>
      <c r="AP170" s="23"/>
    </row>
    <row r="171" spans="1:42" ht="12.75" customHeight="1" x14ac:dyDescent="0.25">
      <c r="A171" s="24"/>
      <c r="E171" s="6"/>
      <c r="F171" s="7"/>
      <c r="AL171" s="25">
        <f t="shared" ref="AL171:AM171" si="2">SUM(AL6:AL170)</f>
        <v>7979742.0385224577</v>
      </c>
      <c r="AM171" s="26">
        <f t="shared" si="2"/>
        <v>2873069736713.417</v>
      </c>
    </row>
    <row r="172" spans="1:42" ht="12.75" customHeight="1" x14ac:dyDescent="0.25">
      <c r="A172" s="24"/>
      <c r="E172" s="6"/>
      <c r="F172" s="7"/>
      <c r="AM172" s="8"/>
    </row>
    <row r="173" spans="1:42" ht="12.75" customHeight="1" x14ac:dyDescent="0.25">
      <c r="A173" s="24"/>
      <c r="E173" s="6"/>
      <c r="F173" s="7"/>
      <c r="AM173" s="8"/>
    </row>
    <row r="174" spans="1:42" ht="12.75" customHeight="1" x14ac:dyDescent="0.25">
      <c r="A174" s="24"/>
      <c r="E174" s="6"/>
      <c r="F174" s="7"/>
      <c r="AM174" s="8"/>
    </row>
    <row r="175" spans="1:42" ht="12.75" customHeight="1" x14ac:dyDescent="0.25">
      <c r="A175" s="24"/>
      <c r="E175" s="6"/>
      <c r="F175" s="7"/>
      <c r="AM175" s="8"/>
    </row>
    <row r="176" spans="1:42" ht="12.75" customHeight="1" x14ac:dyDescent="0.25">
      <c r="A176" s="24"/>
      <c r="E176" s="6"/>
      <c r="F176" s="7"/>
      <c r="AM176" s="8"/>
    </row>
    <row r="177" spans="1:39" ht="12.75" customHeight="1" x14ac:dyDescent="0.25">
      <c r="A177" s="24"/>
      <c r="E177" s="6"/>
      <c r="F177" s="7"/>
      <c r="AM177" s="8"/>
    </row>
    <row r="178" spans="1:39" ht="12.75" customHeight="1" x14ac:dyDescent="0.25">
      <c r="A178" s="24"/>
      <c r="E178" s="6"/>
      <c r="F178" s="7"/>
      <c r="AM178" s="8"/>
    </row>
    <row r="179" spans="1:39" ht="12.75" customHeight="1" x14ac:dyDescent="0.25">
      <c r="A179" s="24"/>
      <c r="E179" s="6"/>
      <c r="F179" s="7"/>
      <c r="AM179" s="8"/>
    </row>
    <row r="180" spans="1:39" ht="12.75" customHeight="1" x14ac:dyDescent="0.25">
      <c r="A180" s="24"/>
      <c r="E180" s="6"/>
      <c r="F180" s="7"/>
      <c r="AM180" s="8"/>
    </row>
    <row r="181" spans="1:39" ht="12.75" customHeight="1" x14ac:dyDescent="0.25">
      <c r="A181" s="24"/>
      <c r="E181" s="6"/>
      <c r="F181" s="7"/>
      <c r="AM181" s="8"/>
    </row>
    <row r="182" spans="1:39" ht="12.75" customHeight="1" x14ac:dyDescent="0.25">
      <c r="A182" s="24"/>
      <c r="E182" s="6"/>
      <c r="F182" s="7"/>
      <c r="AM182" s="8"/>
    </row>
    <row r="183" spans="1:39" ht="12.75" customHeight="1" x14ac:dyDescent="0.25">
      <c r="A183" s="24"/>
      <c r="E183" s="6"/>
      <c r="F183" s="7"/>
      <c r="AM183" s="8"/>
    </row>
    <row r="184" spans="1:39" ht="12.75" customHeight="1" x14ac:dyDescent="0.25">
      <c r="A184" s="24"/>
      <c r="E184" s="6"/>
      <c r="F184" s="7"/>
      <c r="AM184" s="8"/>
    </row>
    <row r="185" spans="1:39" ht="12.75" customHeight="1" x14ac:dyDescent="0.25">
      <c r="A185" s="24"/>
      <c r="E185" s="6"/>
      <c r="F185" s="7"/>
      <c r="AM185" s="8"/>
    </row>
    <row r="186" spans="1:39" ht="12.75" customHeight="1" x14ac:dyDescent="0.25">
      <c r="A186" s="24"/>
      <c r="E186" s="6"/>
      <c r="F186" s="7"/>
      <c r="AM186" s="8"/>
    </row>
    <row r="187" spans="1:39" ht="12.75" customHeight="1" x14ac:dyDescent="0.25">
      <c r="A187" s="24"/>
      <c r="E187" s="6"/>
      <c r="F187" s="7"/>
      <c r="AM187" s="8"/>
    </row>
    <row r="188" spans="1:39" ht="12.75" customHeight="1" x14ac:dyDescent="0.25">
      <c r="A188" s="24"/>
      <c r="E188" s="6"/>
      <c r="F188" s="7"/>
      <c r="AM188" s="8"/>
    </row>
    <row r="189" spans="1:39" ht="12.75" customHeight="1" x14ac:dyDescent="0.25">
      <c r="A189" s="24"/>
      <c r="E189" s="6"/>
      <c r="F189" s="7"/>
      <c r="AM189" s="8"/>
    </row>
    <row r="190" spans="1:39" ht="12.75" customHeight="1" x14ac:dyDescent="0.25">
      <c r="A190" s="24"/>
      <c r="E190" s="6"/>
      <c r="F190" s="7"/>
      <c r="AM190" s="8"/>
    </row>
    <row r="191" spans="1:39" ht="12.75" customHeight="1" x14ac:dyDescent="0.25">
      <c r="A191" s="24"/>
      <c r="E191" s="6"/>
      <c r="F191" s="7"/>
      <c r="AM191" s="8"/>
    </row>
    <row r="192" spans="1:39" ht="12.75" customHeight="1" x14ac:dyDescent="0.25">
      <c r="A192" s="24"/>
      <c r="E192" s="6"/>
      <c r="F192" s="7"/>
      <c r="AM192" s="8"/>
    </row>
    <row r="193" spans="1:39" ht="12.75" customHeight="1" x14ac:dyDescent="0.25">
      <c r="A193" s="24"/>
      <c r="E193" s="6"/>
      <c r="F193" s="7"/>
      <c r="AM193" s="8"/>
    </row>
    <row r="194" spans="1:39" ht="12.75" customHeight="1" x14ac:dyDescent="0.25">
      <c r="A194" s="24"/>
      <c r="E194" s="6"/>
      <c r="F194" s="7"/>
      <c r="AM194" s="8"/>
    </row>
    <row r="195" spans="1:39" ht="12.75" customHeight="1" x14ac:dyDescent="0.25">
      <c r="A195" s="24"/>
      <c r="E195" s="6"/>
      <c r="F195" s="7"/>
      <c r="AM195" s="8"/>
    </row>
    <row r="196" spans="1:39" ht="12.75" customHeight="1" x14ac:dyDescent="0.25">
      <c r="A196" s="24"/>
      <c r="E196" s="6"/>
      <c r="F196" s="7"/>
      <c r="AM196" s="8"/>
    </row>
    <row r="197" spans="1:39" ht="12.75" customHeight="1" x14ac:dyDescent="0.25">
      <c r="A197" s="24"/>
      <c r="E197" s="6"/>
      <c r="F197" s="7"/>
      <c r="AM197" s="8"/>
    </row>
    <row r="198" spans="1:39" ht="12.75" customHeight="1" x14ac:dyDescent="0.25">
      <c r="A198" s="24"/>
      <c r="E198" s="6"/>
      <c r="F198" s="7"/>
      <c r="AM198" s="8"/>
    </row>
    <row r="199" spans="1:39" ht="12.75" customHeight="1" x14ac:dyDescent="0.25">
      <c r="A199" s="24"/>
      <c r="E199" s="6"/>
      <c r="F199" s="7"/>
      <c r="AM199" s="8"/>
    </row>
    <row r="200" spans="1:39" ht="12.75" customHeight="1" x14ac:dyDescent="0.25">
      <c r="A200" s="24"/>
      <c r="E200" s="6"/>
      <c r="F200" s="7"/>
      <c r="AM200" s="8"/>
    </row>
    <row r="201" spans="1:39" ht="12.75" customHeight="1" x14ac:dyDescent="0.25">
      <c r="A201" s="24"/>
      <c r="E201" s="6"/>
      <c r="F201" s="7"/>
      <c r="AM201" s="8"/>
    </row>
    <row r="202" spans="1:39" ht="12.75" customHeight="1" x14ac:dyDescent="0.25">
      <c r="A202" s="24"/>
      <c r="E202" s="6"/>
      <c r="F202" s="7"/>
      <c r="AM202" s="8"/>
    </row>
    <row r="203" spans="1:39" ht="12.75" customHeight="1" x14ac:dyDescent="0.25">
      <c r="A203" s="24"/>
      <c r="E203" s="6"/>
      <c r="F203" s="7"/>
      <c r="AM203" s="8"/>
    </row>
    <row r="204" spans="1:39" ht="12.75" customHeight="1" x14ac:dyDescent="0.25">
      <c r="A204" s="24"/>
      <c r="E204" s="6"/>
      <c r="F204" s="7"/>
      <c r="AM204" s="8"/>
    </row>
    <row r="205" spans="1:39" ht="12.75" customHeight="1" x14ac:dyDescent="0.25">
      <c r="A205" s="24"/>
      <c r="E205" s="6"/>
      <c r="F205" s="7"/>
      <c r="AM205" s="8"/>
    </row>
    <row r="206" spans="1:39" ht="12.75" customHeight="1" x14ac:dyDescent="0.25">
      <c r="A206" s="24"/>
      <c r="E206" s="6"/>
      <c r="F206" s="7"/>
      <c r="AM206" s="8"/>
    </row>
    <row r="207" spans="1:39" ht="12.75" customHeight="1" x14ac:dyDescent="0.25">
      <c r="A207" s="24"/>
      <c r="E207" s="6"/>
      <c r="F207" s="7"/>
      <c r="AM207" s="8"/>
    </row>
    <row r="208" spans="1:39" ht="12.75" customHeight="1" x14ac:dyDescent="0.25">
      <c r="A208" s="24"/>
      <c r="E208" s="6"/>
      <c r="F208" s="7"/>
      <c r="AM208" s="8"/>
    </row>
    <row r="209" spans="1:39" ht="12.75" customHeight="1" x14ac:dyDescent="0.25">
      <c r="A209" s="24"/>
      <c r="E209" s="6"/>
      <c r="F209" s="7"/>
      <c r="AM209" s="8"/>
    </row>
    <row r="210" spans="1:39" ht="12.75" customHeight="1" x14ac:dyDescent="0.25">
      <c r="A210" s="24"/>
      <c r="E210" s="6"/>
      <c r="F210" s="7"/>
      <c r="AM210" s="8"/>
    </row>
    <row r="211" spans="1:39" ht="12.75" customHeight="1" x14ac:dyDescent="0.25">
      <c r="A211" s="24"/>
      <c r="E211" s="6"/>
      <c r="F211" s="7"/>
      <c r="AM211" s="8"/>
    </row>
    <row r="212" spans="1:39" ht="12.75" customHeight="1" x14ac:dyDescent="0.25">
      <c r="A212" s="24"/>
      <c r="E212" s="6"/>
      <c r="F212" s="7"/>
      <c r="AM212" s="8"/>
    </row>
    <row r="213" spans="1:39" ht="12.75" customHeight="1" x14ac:dyDescent="0.25">
      <c r="A213" s="24"/>
      <c r="E213" s="6"/>
      <c r="F213" s="7"/>
      <c r="AM213" s="8"/>
    </row>
    <row r="214" spans="1:39" ht="12.75" customHeight="1" x14ac:dyDescent="0.25">
      <c r="A214" s="24"/>
      <c r="E214" s="6"/>
      <c r="F214" s="7"/>
      <c r="AM214" s="8"/>
    </row>
    <row r="215" spans="1:39" ht="12.75" customHeight="1" x14ac:dyDescent="0.25">
      <c r="A215" s="24"/>
      <c r="E215" s="6"/>
      <c r="F215" s="7"/>
      <c r="AM215" s="8"/>
    </row>
    <row r="216" spans="1:39" ht="12.75" customHeight="1" x14ac:dyDescent="0.25">
      <c r="A216" s="24"/>
      <c r="E216" s="6"/>
      <c r="F216" s="7"/>
      <c r="AM216" s="8"/>
    </row>
    <row r="217" spans="1:39" ht="12.75" customHeight="1" x14ac:dyDescent="0.25">
      <c r="A217" s="24"/>
      <c r="E217" s="6"/>
      <c r="F217" s="7"/>
      <c r="AM217" s="8"/>
    </row>
    <row r="218" spans="1:39" ht="12.75" customHeight="1" x14ac:dyDescent="0.25">
      <c r="A218" s="24"/>
      <c r="E218" s="6"/>
      <c r="F218" s="7"/>
      <c r="AM218" s="8"/>
    </row>
    <row r="219" spans="1:39" ht="12.75" customHeight="1" x14ac:dyDescent="0.25">
      <c r="A219" s="24"/>
      <c r="E219" s="6"/>
      <c r="F219" s="7"/>
      <c r="AM219" s="8"/>
    </row>
    <row r="220" spans="1:39" ht="12.75" customHeight="1" x14ac:dyDescent="0.25">
      <c r="A220" s="24"/>
      <c r="E220" s="6"/>
      <c r="F220" s="7"/>
      <c r="AM220" s="8"/>
    </row>
    <row r="221" spans="1:39" ht="12.75" customHeight="1" x14ac:dyDescent="0.25">
      <c r="A221" s="24"/>
      <c r="E221" s="6"/>
      <c r="F221" s="7"/>
      <c r="AM221" s="8"/>
    </row>
    <row r="222" spans="1:39" ht="12.75" customHeight="1" x14ac:dyDescent="0.25">
      <c r="A222" s="24"/>
      <c r="E222" s="6"/>
      <c r="F222" s="7"/>
      <c r="AM222" s="8"/>
    </row>
    <row r="223" spans="1:39" ht="12.75" customHeight="1" x14ac:dyDescent="0.25">
      <c r="A223" s="24"/>
      <c r="E223" s="6"/>
      <c r="F223" s="7"/>
      <c r="AM223" s="8"/>
    </row>
    <row r="224" spans="1:39" ht="12.75" customHeight="1" x14ac:dyDescent="0.25">
      <c r="A224" s="24"/>
      <c r="E224" s="6"/>
      <c r="F224" s="7"/>
      <c r="AM224" s="8"/>
    </row>
    <row r="225" spans="1:39" ht="12.75" customHeight="1" x14ac:dyDescent="0.25">
      <c r="A225" s="24"/>
      <c r="E225" s="6"/>
      <c r="F225" s="7"/>
      <c r="AM225" s="8"/>
    </row>
    <row r="226" spans="1:39" ht="12.75" customHeight="1" x14ac:dyDescent="0.25">
      <c r="A226" s="24"/>
      <c r="E226" s="6"/>
      <c r="F226" s="7"/>
      <c r="AM226" s="8"/>
    </row>
    <row r="227" spans="1:39" ht="12.75" customHeight="1" x14ac:dyDescent="0.25">
      <c r="A227" s="24"/>
      <c r="E227" s="6"/>
      <c r="F227" s="7"/>
      <c r="AM227" s="8"/>
    </row>
    <row r="228" spans="1:39" ht="12.75" customHeight="1" x14ac:dyDescent="0.25">
      <c r="A228" s="24"/>
      <c r="E228" s="6"/>
      <c r="F228" s="7"/>
      <c r="AM228" s="8"/>
    </row>
    <row r="229" spans="1:39" ht="12.75" customHeight="1" x14ac:dyDescent="0.25">
      <c r="A229" s="24"/>
      <c r="E229" s="6"/>
      <c r="F229" s="7"/>
      <c r="AM229" s="8"/>
    </row>
    <row r="230" spans="1:39" ht="12.75" customHeight="1" x14ac:dyDescent="0.25">
      <c r="A230" s="24"/>
      <c r="E230" s="6"/>
      <c r="F230" s="7"/>
      <c r="AM230" s="8"/>
    </row>
    <row r="231" spans="1:39" ht="12.75" customHeight="1" x14ac:dyDescent="0.25">
      <c r="A231" s="24"/>
      <c r="E231" s="6"/>
      <c r="F231" s="7"/>
      <c r="AM231" s="8"/>
    </row>
    <row r="232" spans="1:39" ht="12.75" customHeight="1" x14ac:dyDescent="0.25">
      <c r="A232" s="24"/>
      <c r="E232" s="6"/>
      <c r="F232" s="7"/>
      <c r="AM232" s="8"/>
    </row>
    <row r="233" spans="1:39" ht="12.75" customHeight="1" x14ac:dyDescent="0.25">
      <c r="A233" s="24"/>
      <c r="E233" s="6"/>
      <c r="F233" s="7"/>
      <c r="AM233" s="8"/>
    </row>
    <row r="234" spans="1:39" ht="12.75" customHeight="1" x14ac:dyDescent="0.25">
      <c r="A234" s="24"/>
      <c r="E234" s="6"/>
      <c r="F234" s="7"/>
      <c r="AM234" s="8"/>
    </row>
    <row r="235" spans="1:39" ht="12.75" customHeight="1" x14ac:dyDescent="0.25">
      <c r="A235" s="24"/>
      <c r="E235" s="6"/>
      <c r="F235" s="7"/>
      <c r="AM235" s="8"/>
    </row>
    <row r="236" spans="1:39" ht="12.75" customHeight="1" x14ac:dyDescent="0.25">
      <c r="A236" s="24"/>
      <c r="E236" s="6"/>
      <c r="F236" s="7"/>
      <c r="AM236" s="8"/>
    </row>
    <row r="237" spans="1:39" ht="12.75" customHeight="1" x14ac:dyDescent="0.25">
      <c r="A237" s="24"/>
      <c r="E237" s="6"/>
      <c r="F237" s="7"/>
      <c r="AM237" s="8"/>
    </row>
    <row r="238" spans="1:39" ht="12.75" customHeight="1" x14ac:dyDescent="0.25">
      <c r="A238" s="24"/>
      <c r="E238" s="6"/>
      <c r="F238" s="7"/>
      <c r="AM238" s="8"/>
    </row>
    <row r="239" spans="1:39" ht="12.75" customHeight="1" x14ac:dyDescent="0.25">
      <c r="A239" s="24"/>
      <c r="E239" s="6"/>
      <c r="F239" s="7"/>
      <c r="AM239" s="8"/>
    </row>
    <row r="240" spans="1:39" ht="12.75" customHeight="1" x14ac:dyDescent="0.25">
      <c r="A240" s="24"/>
      <c r="E240" s="6"/>
      <c r="F240" s="7"/>
      <c r="AM240" s="8"/>
    </row>
    <row r="241" spans="1:39" ht="12.75" customHeight="1" x14ac:dyDescent="0.25">
      <c r="A241" s="24"/>
      <c r="E241" s="6"/>
      <c r="F241" s="7"/>
      <c r="AM241" s="8"/>
    </row>
    <row r="242" spans="1:39" ht="12.75" customHeight="1" x14ac:dyDescent="0.25">
      <c r="A242" s="24"/>
      <c r="E242" s="6"/>
      <c r="F242" s="7"/>
      <c r="AM242" s="8"/>
    </row>
    <row r="243" spans="1:39" ht="12.75" customHeight="1" x14ac:dyDescent="0.25">
      <c r="A243" s="24"/>
      <c r="E243" s="6"/>
      <c r="F243" s="7"/>
      <c r="AM243" s="8"/>
    </row>
    <row r="244" spans="1:39" ht="12.75" customHeight="1" x14ac:dyDescent="0.25">
      <c r="A244" s="24"/>
      <c r="E244" s="6"/>
      <c r="F244" s="7"/>
      <c r="AM244" s="8"/>
    </row>
    <row r="245" spans="1:39" ht="12.75" customHeight="1" x14ac:dyDescent="0.25">
      <c r="A245" s="24"/>
      <c r="E245" s="6"/>
      <c r="F245" s="7"/>
      <c r="AM245" s="8"/>
    </row>
    <row r="246" spans="1:39" ht="12.75" customHeight="1" x14ac:dyDescent="0.25">
      <c r="A246" s="24"/>
      <c r="E246" s="6"/>
      <c r="F246" s="7"/>
      <c r="AM246" s="8"/>
    </row>
    <row r="247" spans="1:39" ht="12.75" customHeight="1" x14ac:dyDescent="0.25">
      <c r="A247" s="24"/>
      <c r="E247" s="6"/>
      <c r="F247" s="7"/>
      <c r="AM247" s="8"/>
    </row>
    <row r="248" spans="1:39" ht="12.75" customHeight="1" x14ac:dyDescent="0.25">
      <c r="A248" s="24"/>
      <c r="E248" s="6"/>
      <c r="F248" s="7"/>
      <c r="AM248" s="8"/>
    </row>
    <row r="249" spans="1:39" ht="12.75" customHeight="1" x14ac:dyDescent="0.25">
      <c r="A249" s="24"/>
      <c r="E249" s="6"/>
      <c r="F249" s="7"/>
      <c r="AM249" s="8"/>
    </row>
    <row r="250" spans="1:39" ht="12.75" customHeight="1" x14ac:dyDescent="0.25">
      <c r="A250" s="24"/>
      <c r="E250" s="6"/>
      <c r="F250" s="7"/>
      <c r="AM250" s="8"/>
    </row>
    <row r="251" spans="1:39" ht="12.75" customHeight="1" x14ac:dyDescent="0.25">
      <c r="A251" s="24"/>
      <c r="E251" s="6"/>
      <c r="F251" s="7"/>
      <c r="AM251" s="8"/>
    </row>
    <row r="252" spans="1:39" ht="12.75" customHeight="1" x14ac:dyDescent="0.25">
      <c r="A252" s="24"/>
      <c r="E252" s="6"/>
      <c r="F252" s="7"/>
      <c r="AM252" s="8"/>
    </row>
    <row r="253" spans="1:39" ht="12.75" customHeight="1" x14ac:dyDescent="0.25">
      <c r="A253" s="24"/>
      <c r="E253" s="6"/>
      <c r="F253" s="7"/>
      <c r="AM253" s="8"/>
    </row>
    <row r="254" spans="1:39" ht="12.75" customHeight="1" x14ac:dyDescent="0.25">
      <c r="A254" s="24"/>
      <c r="E254" s="6"/>
      <c r="F254" s="7"/>
      <c r="AM254" s="8"/>
    </row>
    <row r="255" spans="1:39" ht="12.75" customHeight="1" x14ac:dyDescent="0.25">
      <c r="A255" s="24"/>
      <c r="E255" s="6"/>
      <c r="F255" s="7"/>
      <c r="AM255" s="8"/>
    </row>
    <row r="256" spans="1:39" ht="12.75" customHeight="1" x14ac:dyDescent="0.25">
      <c r="A256" s="24"/>
      <c r="E256" s="6"/>
      <c r="F256" s="7"/>
      <c r="AM256" s="8"/>
    </row>
    <row r="257" spans="1:39" ht="12.75" customHeight="1" x14ac:dyDescent="0.25">
      <c r="A257" s="24"/>
      <c r="E257" s="6"/>
      <c r="F257" s="7"/>
      <c r="AM257" s="8"/>
    </row>
    <row r="258" spans="1:39" ht="12.75" customHeight="1" x14ac:dyDescent="0.25">
      <c r="A258" s="24"/>
      <c r="E258" s="6"/>
      <c r="F258" s="7"/>
      <c r="AM258" s="8"/>
    </row>
    <row r="259" spans="1:39" ht="12.75" customHeight="1" x14ac:dyDescent="0.25">
      <c r="A259" s="24"/>
      <c r="E259" s="6"/>
      <c r="F259" s="7"/>
      <c r="AM259" s="8"/>
    </row>
    <row r="260" spans="1:39" ht="12.75" customHeight="1" x14ac:dyDescent="0.25">
      <c r="A260" s="24"/>
      <c r="E260" s="6"/>
      <c r="F260" s="7"/>
      <c r="AM260" s="8"/>
    </row>
    <row r="261" spans="1:39" ht="12.75" customHeight="1" x14ac:dyDescent="0.25">
      <c r="A261" s="24"/>
      <c r="E261" s="6"/>
      <c r="F261" s="7"/>
      <c r="AM261" s="8"/>
    </row>
    <row r="262" spans="1:39" ht="12.75" customHeight="1" x14ac:dyDescent="0.25">
      <c r="A262" s="24"/>
      <c r="E262" s="6"/>
      <c r="F262" s="7"/>
      <c r="AM262" s="8"/>
    </row>
    <row r="263" spans="1:39" ht="12.75" customHeight="1" x14ac:dyDescent="0.25">
      <c r="A263" s="24"/>
      <c r="E263" s="6"/>
      <c r="F263" s="7"/>
      <c r="AM263" s="8"/>
    </row>
    <row r="264" spans="1:39" ht="12.75" customHeight="1" x14ac:dyDescent="0.25">
      <c r="A264" s="24"/>
      <c r="E264" s="6"/>
      <c r="F264" s="7"/>
      <c r="AM264" s="8"/>
    </row>
    <row r="265" spans="1:39" ht="12.75" customHeight="1" x14ac:dyDescent="0.25">
      <c r="A265" s="24"/>
      <c r="E265" s="6"/>
      <c r="F265" s="7"/>
      <c r="AM265" s="8"/>
    </row>
    <row r="266" spans="1:39" ht="12.75" customHeight="1" x14ac:dyDescent="0.25">
      <c r="A266" s="24"/>
      <c r="E266" s="6"/>
      <c r="F266" s="7"/>
      <c r="AM266" s="8"/>
    </row>
    <row r="267" spans="1:39" ht="12.75" customHeight="1" x14ac:dyDescent="0.25">
      <c r="A267" s="24"/>
      <c r="E267" s="6"/>
      <c r="F267" s="7"/>
      <c r="AM267" s="8"/>
    </row>
    <row r="268" spans="1:39" ht="12.75" customHeight="1" x14ac:dyDescent="0.25">
      <c r="A268" s="24"/>
      <c r="E268" s="6"/>
      <c r="F268" s="7"/>
      <c r="AM268" s="8"/>
    </row>
    <row r="269" spans="1:39" ht="12.75" customHeight="1" x14ac:dyDescent="0.25">
      <c r="A269" s="24"/>
      <c r="E269" s="6"/>
      <c r="F269" s="7"/>
      <c r="AM269" s="8"/>
    </row>
    <row r="270" spans="1:39" ht="12.75" customHeight="1" x14ac:dyDescent="0.25">
      <c r="A270" s="24"/>
      <c r="E270" s="6"/>
      <c r="F270" s="7"/>
      <c r="AM270" s="8"/>
    </row>
    <row r="271" spans="1:39" ht="12.75" customHeight="1" x14ac:dyDescent="0.25">
      <c r="A271" s="24"/>
      <c r="E271" s="6"/>
      <c r="F271" s="7"/>
      <c r="AM271" s="8"/>
    </row>
    <row r="272" spans="1:39" ht="12.75" customHeight="1" x14ac:dyDescent="0.25">
      <c r="A272" s="24"/>
      <c r="E272" s="6"/>
      <c r="F272" s="7"/>
      <c r="AM272" s="8"/>
    </row>
    <row r="273" spans="1:39" ht="12.75" customHeight="1" x14ac:dyDescent="0.25">
      <c r="A273" s="24"/>
      <c r="E273" s="6"/>
      <c r="F273" s="7"/>
      <c r="AM273" s="8"/>
    </row>
    <row r="274" spans="1:39" ht="12.75" customHeight="1" x14ac:dyDescent="0.25">
      <c r="A274" s="24"/>
      <c r="E274" s="6"/>
      <c r="F274" s="7"/>
      <c r="AM274" s="8"/>
    </row>
    <row r="275" spans="1:39" ht="12.75" customHeight="1" x14ac:dyDescent="0.25">
      <c r="A275" s="24"/>
      <c r="E275" s="6"/>
      <c r="F275" s="7"/>
      <c r="AM275" s="8"/>
    </row>
    <row r="276" spans="1:39" ht="12.75" customHeight="1" x14ac:dyDescent="0.25">
      <c r="A276" s="24"/>
      <c r="E276" s="6"/>
      <c r="F276" s="7"/>
      <c r="AM276" s="8"/>
    </row>
    <row r="277" spans="1:39" ht="12.75" customHeight="1" x14ac:dyDescent="0.25">
      <c r="A277" s="24"/>
      <c r="E277" s="6"/>
      <c r="F277" s="7"/>
      <c r="AM277" s="8"/>
    </row>
    <row r="278" spans="1:39" ht="12.75" customHeight="1" x14ac:dyDescent="0.25">
      <c r="A278" s="24"/>
      <c r="E278" s="6"/>
      <c r="F278" s="7"/>
      <c r="AM278" s="8"/>
    </row>
    <row r="279" spans="1:39" ht="12.75" customHeight="1" x14ac:dyDescent="0.25">
      <c r="A279" s="24"/>
      <c r="E279" s="6"/>
      <c r="F279" s="7"/>
      <c r="AM279" s="8"/>
    </row>
    <row r="280" spans="1:39" ht="12.75" customHeight="1" x14ac:dyDescent="0.25">
      <c r="A280" s="24"/>
      <c r="E280" s="6"/>
      <c r="F280" s="7"/>
      <c r="AM280" s="8"/>
    </row>
    <row r="281" spans="1:39" ht="12.75" customHeight="1" x14ac:dyDescent="0.25">
      <c r="A281" s="24"/>
      <c r="E281" s="6"/>
      <c r="F281" s="7"/>
      <c r="AM281" s="8"/>
    </row>
    <row r="282" spans="1:39" ht="12.75" customHeight="1" x14ac:dyDescent="0.25">
      <c r="A282" s="24"/>
      <c r="E282" s="6"/>
      <c r="F282" s="7"/>
      <c r="AM282" s="8"/>
    </row>
    <row r="283" spans="1:39" ht="12.75" customHeight="1" x14ac:dyDescent="0.25">
      <c r="A283" s="24"/>
      <c r="E283" s="6"/>
      <c r="F283" s="7"/>
      <c r="AM283" s="8"/>
    </row>
    <row r="284" spans="1:39" ht="12.75" customHeight="1" x14ac:dyDescent="0.25">
      <c r="A284" s="24"/>
      <c r="E284" s="6"/>
      <c r="F284" s="7"/>
      <c r="AM284" s="8"/>
    </row>
    <row r="285" spans="1:39" ht="12.75" customHeight="1" x14ac:dyDescent="0.25">
      <c r="A285" s="24"/>
      <c r="E285" s="6"/>
      <c r="F285" s="7"/>
      <c r="AM285" s="8"/>
    </row>
    <row r="286" spans="1:39" ht="12.75" customHeight="1" x14ac:dyDescent="0.25">
      <c r="A286" s="24"/>
      <c r="E286" s="6"/>
      <c r="F286" s="7"/>
      <c r="AM286" s="8"/>
    </row>
    <row r="287" spans="1:39" ht="12.75" customHeight="1" x14ac:dyDescent="0.25">
      <c r="A287" s="24"/>
      <c r="E287" s="6"/>
      <c r="F287" s="7"/>
      <c r="AM287" s="8"/>
    </row>
    <row r="288" spans="1:39" ht="12.75" customHeight="1" x14ac:dyDescent="0.25">
      <c r="A288" s="24"/>
      <c r="E288" s="6"/>
      <c r="F288" s="7"/>
      <c r="AM288" s="8"/>
    </row>
    <row r="289" spans="1:39" ht="12.75" customHeight="1" x14ac:dyDescent="0.25">
      <c r="A289" s="24"/>
      <c r="E289" s="6"/>
      <c r="F289" s="7"/>
      <c r="AM289" s="8"/>
    </row>
    <row r="290" spans="1:39" ht="12.75" customHeight="1" x14ac:dyDescent="0.25">
      <c r="A290" s="24"/>
      <c r="E290" s="6"/>
      <c r="F290" s="7"/>
      <c r="AM290" s="8"/>
    </row>
    <row r="291" spans="1:39" ht="12.75" customHeight="1" x14ac:dyDescent="0.25">
      <c r="A291" s="24"/>
      <c r="E291" s="6"/>
      <c r="F291" s="7"/>
      <c r="AM291" s="8"/>
    </row>
    <row r="292" spans="1:39" ht="12.75" customHeight="1" x14ac:dyDescent="0.25">
      <c r="A292" s="24"/>
      <c r="E292" s="6"/>
      <c r="F292" s="7"/>
      <c r="AM292" s="8"/>
    </row>
    <row r="293" spans="1:39" ht="12.75" customHeight="1" x14ac:dyDescent="0.25">
      <c r="A293" s="24"/>
      <c r="E293" s="6"/>
      <c r="F293" s="7"/>
      <c r="AM293" s="8"/>
    </row>
    <row r="294" spans="1:39" ht="12.75" customHeight="1" x14ac:dyDescent="0.25">
      <c r="A294" s="24"/>
      <c r="E294" s="6"/>
      <c r="F294" s="7"/>
      <c r="AM294" s="8"/>
    </row>
    <row r="295" spans="1:39" ht="12.75" customHeight="1" x14ac:dyDescent="0.25">
      <c r="A295" s="24"/>
      <c r="E295" s="6"/>
      <c r="F295" s="7"/>
      <c r="AM295" s="8"/>
    </row>
    <row r="296" spans="1:39" ht="12.75" customHeight="1" x14ac:dyDescent="0.25">
      <c r="A296" s="24"/>
      <c r="E296" s="6"/>
      <c r="F296" s="7"/>
      <c r="AM296" s="8"/>
    </row>
    <row r="297" spans="1:39" ht="12.75" customHeight="1" x14ac:dyDescent="0.25">
      <c r="A297" s="24"/>
      <c r="E297" s="6"/>
      <c r="F297" s="7"/>
      <c r="AM297" s="8"/>
    </row>
    <row r="298" spans="1:39" ht="12.75" customHeight="1" x14ac:dyDescent="0.25">
      <c r="A298" s="24"/>
      <c r="E298" s="6"/>
      <c r="F298" s="7"/>
      <c r="AM298" s="8"/>
    </row>
    <row r="299" spans="1:39" ht="12.75" customHeight="1" x14ac:dyDescent="0.25">
      <c r="A299" s="24"/>
      <c r="E299" s="6"/>
      <c r="F299" s="7"/>
      <c r="AM299" s="8"/>
    </row>
    <row r="300" spans="1:39" ht="12.75" customHeight="1" x14ac:dyDescent="0.25">
      <c r="A300" s="24"/>
      <c r="E300" s="6"/>
      <c r="F300" s="7"/>
      <c r="AM300" s="8"/>
    </row>
    <row r="301" spans="1:39" ht="12.75" customHeight="1" x14ac:dyDescent="0.25">
      <c r="A301" s="24"/>
      <c r="E301" s="6"/>
      <c r="F301" s="7"/>
      <c r="AM301" s="8"/>
    </row>
    <row r="302" spans="1:39" ht="12.75" customHeight="1" x14ac:dyDescent="0.25">
      <c r="A302" s="24"/>
      <c r="E302" s="6"/>
      <c r="F302" s="7"/>
      <c r="AM302" s="8"/>
    </row>
    <row r="303" spans="1:39" ht="12.75" customHeight="1" x14ac:dyDescent="0.25">
      <c r="A303" s="24"/>
      <c r="E303" s="6"/>
      <c r="F303" s="7"/>
      <c r="AM303" s="8"/>
    </row>
    <row r="304" spans="1:39" ht="12.75" customHeight="1" x14ac:dyDescent="0.25">
      <c r="A304" s="24"/>
      <c r="E304" s="6"/>
      <c r="F304" s="7"/>
      <c r="AM304" s="8"/>
    </row>
    <row r="305" spans="1:39" ht="12.75" customHeight="1" x14ac:dyDescent="0.25">
      <c r="A305" s="24"/>
      <c r="E305" s="6"/>
      <c r="F305" s="7"/>
      <c r="AM305" s="8"/>
    </row>
    <row r="306" spans="1:39" ht="12.75" customHeight="1" x14ac:dyDescent="0.25">
      <c r="A306" s="24"/>
      <c r="E306" s="6"/>
      <c r="F306" s="7"/>
      <c r="AM306" s="8"/>
    </row>
    <row r="307" spans="1:39" ht="12.75" customHeight="1" x14ac:dyDescent="0.25">
      <c r="A307" s="24"/>
      <c r="E307" s="6"/>
      <c r="F307" s="7"/>
      <c r="AM307" s="8"/>
    </row>
    <row r="308" spans="1:39" ht="12.75" customHeight="1" x14ac:dyDescent="0.25">
      <c r="A308" s="24"/>
      <c r="E308" s="6"/>
      <c r="F308" s="7"/>
      <c r="AM308" s="8"/>
    </row>
    <row r="309" spans="1:39" ht="12.75" customHeight="1" x14ac:dyDescent="0.25">
      <c r="A309" s="24"/>
      <c r="E309" s="6"/>
      <c r="F309" s="7"/>
      <c r="AM309" s="8"/>
    </row>
    <row r="310" spans="1:39" ht="12.75" customHeight="1" x14ac:dyDescent="0.25">
      <c r="A310" s="24"/>
      <c r="E310" s="6"/>
      <c r="F310" s="7"/>
      <c r="AM310" s="8"/>
    </row>
    <row r="311" spans="1:39" ht="12.75" customHeight="1" x14ac:dyDescent="0.25">
      <c r="A311" s="24"/>
      <c r="E311" s="6"/>
      <c r="F311" s="7"/>
      <c r="AM311" s="8"/>
    </row>
    <row r="312" spans="1:39" ht="12.75" customHeight="1" x14ac:dyDescent="0.25">
      <c r="A312" s="24"/>
      <c r="E312" s="6"/>
      <c r="F312" s="7"/>
      <c r="AM312" s="8"/>
    </row>
    <row r="313" spans="1:39" ht="12.75" customHeight="1" x14ac:dyDescent="0.25">
      <c r="A313" s="24"/>
      <c r="E313" s="6"/>
      <c r="F313" s="7"/>
      <c r="AM313" s="8"/>
    </row>
    <row r="314" spans="1:39" ht="12.75" customHeight="1" x14ac:dyDescent="0.25">
      <c r="A314" s="24"/>
      <c r="E314" s="6"/>
      <c r="F314" s="7"/>
      <c r="AM314" s="8"/>
    </row>
    <row r="315" spans="1:39" ht="12.75" customHeight="1" x14ac:dyDescent="0.25">
      <c r="A315" s="24"/>
      <c r="E315" s="6"/>
      <c r="F315" s="7"/>
      <c r="AM315" s="8"/>
    </row>
    <row r="316" spans="1:39" ht="12.75" customHeight="1" x14ac:dyDescent="0.25">
      <c r="A316" s="24"/>
      <c r="E316" s="6"/>
      <c r="F316" s="7"/>
      <c r="AM316" s="8"/>
    </row>
    <row r="317" spans="1:39" ht="12.75" customHeight="1" x14ac:dyDescent="0.25">
      <c r="A317" s="24"/>
      <c r="E317" s="6"/>
      <c r="F317" s="7"/>
      <c r="AM317" s="8"/>
    </row>
    <row r="318" spans="1:39" ht="12.75" customHeight="1" x14ac:dyDescent="0.25">
      <c r="A318" s="24"/>
      <c r="E318" s="6"/>
      <c r="F318" s="7"/>
      <c r="AM318" s="8"/>
    </row>
    <row r="319" spans="1:39" ht="12.75" customHeight="1" x14ac:dyDescent="0.25">
      <c r="A319" s="24"/>
      <c r="E319" s="6"/>
      <c r="F319" s="7"/>
      <c r="AM319" s="8"/>
    </row>
    <row r="320" spans="1:39" ht="12.75" customHeight="1" x14ac:dyDescent="0.25">
      <c r="A320" s="24"/>
      <c r="E320" s="6"/>
      <c r="F320" s="7"/>
      <c r="AM320" s="8"/>
    </row>
    <row r="321" spans="1:39" ht="12.75" customHeight="1" x14ac:dyDescent="0.25">
      <c r="A321" s="24"/>
      <c r="E321" s="6"/>
      <c r="F321" s="7"/>
      <c r="AM321" s="8"/>
    </row>
    <row r="322" spans="1:39" ht="12.75" customHeight="1" x14ac:dyDescent="0.25">
      <c r="A322" s="24"/>
      <c r="E322" s="6"/>
      <c r="F322" s="7"/>
      <c r="AM322" s="8"/>
    </row>
    <row r="323" spans="1:39" ht="12.75" customHeight="1" x14ac:dyDescent="0.25">
      <c r="A323" s="24"/>
      <c r="E323" s="6"/>
      <c r="F323" s="7"/>
      <c r="AM323" s="8"/>
    </row>
    <row r="324" spans="1:39" ht="12.75" customHeight="1" x14ac:dyDescent="0.25">
      <c r="A324" s="24"/>
      <c r="E324" s="6"/>
      <c r="F324" s="7"/>
      <c r="AM324" s="8"/>
    </row>
    <row r="325" spans="1:39" ht="12.75" customHeight="1" x14ac:dyDescent="0.25">
      <c r="A325" s="24"/>
      <c r="E325" s="6"/>
      <c r="F325" s="7"/>
      <c r="AM325" s="8"/>
    </row>
    <row r="326" spans="1:39" ht="12.75" customHeight="1" x14ac:dyDescent="0.25">
      <c r="A326" s="24"/>
      <c r="E326" s="6"/>
      <c r="F326" s="7"/>
      <c r="AM326" s="8"/>
    </row>
    <row r="327" spans="1:39" ht="12.75" customHeight="1" x14ac:dyDescent="0.25">
      <c r="A327" s="24"/>
      <c r="E327" s="6"/>
      <c r="F327" s="7"/>
      <c r="AM327" s="8"/>
    </row>
    <row r="328" spans="1:39" ht="12.75" customHeight="1" x14ac:dyDescent="0.25">
      <c r="A328" s="24"/>
      <c r="E328" s="6"/>
      <c r="F328" s="7"/>
      <c r="AM328" s="8"/>
    </row>
    <row r="329" spans="1:39" ht="12.75" customHeight="1" x14ac:dyDescent="0.25">
      <c r="A329" s="24"/>
      <c r="E329" s="6"/>
      <c r="F329" s="7"/>
      <c r="AM329" s="8"/>
    </row>
    <row r="330" spans="1:39" ht="12.75" customHeight="1" x14ac:dyDescent="0.25">
      <c r="A330" s="24"/>
      <c r="E330" s="6"/>
      <c r="F330" s="7"/>
      <c r="AM330" s="8"/>
    </row>
    <row r="331" spans="1:39" ht="12.75" customHeight="1" x14ac:dyDescent="0.25">
      <c r="A331" s="24"/>
      <c r="E331" s="6"/>
      <c r="F331" s="7"/>
      <c r="AM331" s="8"/>
    </row>
    <row r="332" spans="1:39" ht="12.75" customHeight="1" x14ac:dyDescent="0.25">
      <c r="A332" s="24"/>
      <c r="E332" s="6"/>
      <c r="F332" s="7"/>
      <c r="AM332" s="8"/>
    </row>
    <row r="333" spans="1:39" ht="12.75" customHeight="1" x14ac:dyDescent="0.25">
      <c r="A333" s="24"/>
      <c r="E333" s="6"/>
      <c r="F333" s="7"/>
      <c r="AM333" s="8"/>
    </row>
    <row r="334" spans="1:39" ht="12.75" customHeight="1" x14ac:dyDescent="0.25">
      <c r="A334" s="24"/>
      <c r="E334" s="6"/>
      <c r="F334" s="7"/>
      <c r="AM334" s="8"/>
    </row>
    <row r="335" spans="1:39" ht="12.75" customHeight="1" x14ac:dyDescent="0.25">
      <c r="A335" s="24"/>
      <c r="E335" s="6"/>
      <c r="F335" s="7"/>
      <c r="AM335" s="8"/>
    </row>
    <row r="336" spans="1:39" ht="12.75" customHeight="1" x14ac:dyDescent="0.25">
      <c r="A336" s="24"/>
      <c r="E336" s="6"/>
      <c r="F336" s="7"/>
      <c r="AM336" s="8"/>
    </row>
    <row r="337" spans="1:39" ht="12.75" customHeight="1" x14ac:dyDescent="0.25">
      <c r="A337" s="24"/>
      <c r="E337" s="6"/>
      <c r="F337" s="7"/>
      <c r="AM337" s="8"/>
    </row>
    <row r="338" spans="1:39" ht="12.75" customHeight="1" x14ac:dyDescent="0.25">
      <c r="A338" s="24"/>
      <c r="E338" s="6"/>
      <c r="F338" s="7"/>
      <c r="AM338" s="8"/>
    </row>
    <row r="339" spans="1:39" ht="12.75" customHeight="1" x14ac:dyDescent="0.25">
      <c r="A339" s="24"/>
      <c r="E339" s="6"/>
      <c r="F339" s="7"/>
      <c r="AM339" s="8"/>
    </row>
    <row r="340" spans="1:39" ht="12.75" customHeight="1" x14ac:dyDescent="0.25">
      <c r="A340" s="24"/>
      <c r="E340" s="6"/>
      <c r="F340" s="7"/>
      <c r="AM340" s="8"/>
    </row>
    <row r="341" spans="1:39" ht="12.75" customHeight="1" x14ac:dyDescent="0.25">
      <c r="A341" s="24"/>
      <c r="E341" s="6"/>
      <c r="F341" s="7"/>
      <c r="AM341" s="8"/>
    </row>
    <row r="342" spans="1:39" ht="12.75" customHeight="1" x14ac:dyDescent="0.25">
      <c r="A342" s="24"/>
      <c r="E342" s="6"/>
      <c r="F342" s="7"/>
      <c r="AM342" s="8"/>
    </row>
    <row r="343" spans="1:39" ht="12.75" customHeight="1" x14ac:dyDescent="0.25">
      <c r="A343" s="24"/>
      <c r="E343" s="6"/>
      <c r="F343" s="7"/>
      <c r="AM343" s="8"/>
    </row>
    <row r="344" spans="1:39" ht="12.75" customHeight="1" x14ac:dyDescent="0.25">
      <c r="A344" s="24"/>
      <c r="E344" s="6"/>
      <c r="F344" s="7"/>
      <c r="AM344" s="8"/>
    </row>
    <row r="345" spans="1:39" ht="12.75" customHeight="1" x14ac:dyDescent="0.25">
      <c r="A345" s="24"/>
      <c r="E345" s="6"/>
      <c r="F345" s="7"/>
      <c r="AM345" s="8"/>
    </row>
    <row r="346" spans="1:39" ht="12.75" customHeight="1" x14ac:dyDescent="0.25">
      <c r="A346" s="24"/>
      <c r="E346" s="6"/>
      <c r="F346" s="7"/>
      <c r="AM346" s="8"/>
    </row>
    <row r="347" spans="1:39" ht="12.75" customHeight="1" x14ac:dyDescent="0.25">
      <c r="A347" s="24"/>
      <c r="E347" s="6"/>
      <c r="F347" s="7"/>
      <c r="AM347" s="8"/>
    </row>
    <row r="348" spans="1:39" ht="12.75" customHeight="1" x14ac:dyDescent="0.25">
      <c r="A348" s="24"/>
      <c r="E348" s="6"/>
      <c r="F348" s="7"/>
      <c r="AM348" s="8"/>
    </row>
    <row r="349" spans="1:39" ht="12.75" customHeight="1" x14ac:dyDescent="0.25">
      <c r="A349" s="24"/>
      <c r="E349" s="6"/>
      <c r="F349" s="7"/>
      <c r="AM349" s="8"/>
    </row>
    <row r="350" spans="1:39" ht="12.75" customHeight="1" x14ac:dyDescent="0.25">
      <c r="A350" s="24"/>
      <c r="E350" s="6"/>
      <c r="F350" s="7"/>
      <c r="AM350" s="8"/>
    </row>
    <row r="351" spans="1:39" ht="12.75" customHeight="1" x14ac:dyDescent="0.25">
      <c r="A351" s="24"/>
      <c r="E351" s="6"/>
      <c r="F351" s="7"/>
      <c r="AM351" s="8"/>
    </row>
    <row r="352" spans="1:39" ht="12.75" customHeight="1" x14ac:dyDescent="0.25">
      <c r="A352" s="24"/>
      <c r="E352" s="6"/>
      <c r="F352" s="7"/>
      <c r="AM352" s="8"/>
    </row>
    <row r="353" spans="1:39" ht="12.75" customHeight="1" x14ac:dyDescent="0.25">
      <c r="A353" s="24"/>
      <c r="E353" s="6"/>
      <c r="F353" s="7"/>
      <c r="AM353" s="8"/>
    </row>
    <row r="354" spans="1:39" ht="12.75" customHeight="1" x14ac:dyDescent="0.25">
      <c r="A354" s="24"/>
      <c r="E354" s="6"/>
      <c r="F354" s="7"/>
      <c r="AM354" s="8"/>
    </row>
    <row r="355" spans="1:39" ht="12.75" customHeight="1" x14ac:dyDescent="0.25">
      <c r="A355" s="24"/>
      <c r="E355" s="6"/>
      <c r="F355" s="7"/>
      <c r="AM355" s="8"/>
    </row>
    <row r="356" spans="1:39" ht="12.75" customHeight="1" x14ac:dyDescent="0.25">
      <c r="A356" s="24"/>
      <c r="E356" s="6"/>
      <c r="F356" s="7"/>
      <c r="AM356" s="8"/>
    </row>
    <row r="357" spans="1:39" ht="12.75" customHeight="1" x14ac:dyDescent="0.25">
      <c r="A357" s="24"/>
      <c r="E357" s="6"/>
      <c r="F357" s="7"/>
      <c r="AM357" s="8"/>
    </row>
    <row r="358" spans="1:39" ht="12.75" customHeight="1" x14ac:dyDescent="0.25">
      <c r="A358" s="24"/>
      <c r="E358" s="6"/>
      <c r="F358" s="7"/>
      <c r="AM358" s="8"/>
    </row>
    <row r="359" spans="1:39" ht="12.75" customHeight="1" x14ac:dyDescent="0.25">
      <c r="A359" s="24"/>
      <c r="E359" s="6"/>
      <c r="F359" s="7"/>
      <c r="AM359" s="8"/>
    </row>
    <row r="360" spans="1:39" ht="12.75" customHeight="1" x14ac:dyDescent="0.25">
      <c r="A360" s="24"/>
      <c r="E360" s="6"/>
      <c r="F360" s="7"/>
      <c r="AM360" s="8"/>
    </row>
    <row r="361" spans="1:39" ht="12.75" customHeight="1" x14ac:dyDescent="0.25">
      <c r="A361" s="24"/>
      <c r="E361" s="6"/>
      <c r="F361" s="7"/>
      <c r="AM361" s="8"/>
    </row>
    <row r="362" spans="1:39" ht="12.75" customHeight="1" x14ac:dyDescent="0.25">
      <c r="A362" s="24"/>
      <c r="E362" s="6"/>
      <c r="F362" s="7"/>
      <c r="AM362" s="8"/>
    </row>
    <row r="363" spans="1:39" ht="12.75" customHeight="1" x14ac:dyDescent="0.25">
      <c r="A363" s="24"/>
      <c r="E363" s="6"/>
      <c r="F363" s="7"/>
      <c r="AM363" s="8"/>
    </row>
    <row r="364" spans="1:39" ht="12.75" customHeight="1" x14ac:dyDescent="0.25">
      <c r="A364" s="24"/>
      <c r="E364" s="6"/>
      <c r="F364" s="7"/>
      <c r="AM364" s="8"/>
    </row>
    <row r="365" spans="1:39" ht="12.75" customHeight="1" x14ac:dyDescent="0.25">
      <c r="A365" s="24"/>
      <c r="E365" s="6"/>
      <c r="F365" s="7"/>
      <c r="AM365" s="8"/>
    </row>
    <row r="366" spans="1:39" ht="12.75" customHeight="1" x14ac:dyDescent="0.25">
      <c r="A366" s="24"/>
      <c r="E366" s="6"/>
      <c r="F366" s="7"/>
      <c r="AM366" s="8"/>
    </row>
    <row r="367" spans="1:39" ht="12.75" customHeight="1" x14ac:dyDescent="0.25">
      <c r="A367" s="24"/>
      <c r="E367" s="6"/>
      <c r="F367" s="7"/>
      <c r="AM367" s="8"/>
    </row>
    <row r="368" spans="1:39" ht="12.75" customHeight="1" x14ac:dyDescent="0.25">
      <c r="A368" s="24"/>
      <c r="E368" s="6"/>
      <c r="F368" s="7"/>
      <c r="AM368" s="8"/>
    </row>
    <row r="369" spans="1:39" ht="12.75" customHeight="1" x14ac:dyDescent="0.25">
      <c r="A369" s="24"/>
      <c r="E369" s="6"/>
      <c r="F369" s="7"/>
      <c r="AM369" s="8"/>
    </row>
    <row r="370" spans="1:39" ht="12.75" customHeight="1" x14ac:dyDescent="0.25">
      <c r="A370" s="24"/>
      <c r="E370" s="6"/>
      <c r="F370" s="7"/>
      <c r="AM370" s="8"/>
    </row>
    <row r="371" spans="1:39" ht="12.75" customHeight="1" x14ac:dyDescent="0.25">
      <c r="A371" s="24"/>
      <c r="E371" s="6"/>
      <c r="F371" s="7"/>
      <c r="AM371" s="8"/>
    </row>
    <row r="372" spans="1:39" ht="12.75" customHeight="1" x14ac:dyDescent="0.25">
      <c r="A372" s="24"/>
      <c r="E372" s="6"/>
      <c r="F372" s="7"/>
      <c r="AM372" s="8"/>
    </row>
    <row r="373" spans="1:39" ht="12.75" customHeight="1" x14ac:dyDescent="0.25">
      <c r="A373" s="24"/>
      <c r="E373" s="6"/>
      <c r="F373" s="7"/>
      <c r="AM373" s="8"/>
    </row>
    <row r="374" spans="1:39" ht="12.75" customHeight="1" x14ac:dyDescent="0.25">
      <c r="A374" s="24"/>
      <c r="E374" s="6"/>
      <c r="F374" s="7"/>
      <c r="AM374" s="8"/>
    </row>
    <row r="375" spans="1:39" ht="12.75" customHeight="1" x14ac:dyDescent="0.25">
      <c r="A375" s="24"/>
      <c r="E375" s="6"/>
      <c r="F375" s="7"/>
      <c r="AM375" s="8"/>
    </row>
    <row r="376" spans="1:39" ht="12.75" customHeight="1" x14ac:dyDescent="0.25">
      <c r="A376" s="24"/>
      <c r="E376" s="6"/>
      <c r="F376" s="7"/>
      <c r="AM376" s="8"/>
    </row>
    <row r="377" spans="1:39" ht="12.75" customHeight="1" x14ac:dyDescent="0.25">
      <c r="A377" s="24"/>
      <c r="E377" s="6"/>
      <c r="F377" s="7"/>
      <c r="AM377" s="8"/>
    </row>
    <row r="378" spans="1:39" ht="12.75" customHeight="1" x14ac:dyDescent="0.25">
      <c r="A378" s="24"/>
      <c r="E378" s="6"/>
      <c r="F378" s="7"/>
      <c r="AM378" s="8"/>
    </row>
    <row r="379" spans="1:39" ht="12.75" customHeight="1" x14ac:dyDescent="0.25">
      <c r="A379" s="24"/>
      <c r="E379" s="6"/>
      <c r="F379" s="7"/>
      <c r="AM379" s="8"/>
    </row>
    <row r="380" spans="1:39" ht="12.75" customHeight="1" x14ac:dyDescent="0.25">
      <c r="A380" s="24"/>
      <c r="E380" s="6"/>
      <c r="F380" s="7"/>
      <c r="AM380" s="8"/>
    </row>
    <row r="381" spans="1:39" ht="12.75" customHeight="1" x14ac:dyDescent="0.25">
      <c r="A381" s="24"/>
      <c r="E381" s="6"/>
      <c r="F381" s="7"/>
      <c r="AM381" s="8"/>
    </row>
    <row r="382" spans="1:39" ht="12.75" customHeight="1" x14ac:dyDescent="0.25">
      <c r="A382" s="24"/>
      <c r="E382" s="6"/>
      <c r="F382" s="7"/>
      <c r="AM382" s="8"/>
    </row>
    <row r="383" spans="1:39" ht="12.75" customHeight="1" x14ac:dyDescent="0.25">
      <c r="A383" s="24"/>
      <c r="E383" s="6"/>
      <c r="F383" s="7"/>
      <c r="AM383" s="8"/>
    </row>
    <row r="384" spans="1:39" ht="12.75" customHeight="1" x14ac:dyDescent="0.25">
      <c r="A384" s="24"/>
      <c r="E384" s="6"/>
      <c r="F384" s="7"/>
      <c r="AM384" s="8"/>
    </row>
    <row r="385" spans="1:39" ht="12.75" customHeight="1" x14ac:dyDescent="0.25">
      <c r="A385" s="24"/>
      <c r="E385" s="6"/>
      <c r="F385" s="7"/>
      <c r="AM385" s="8"/>
    </row>
    <row r="386" spans="1:39" ht="12.75" customHeight="1" x14ac:dyDescent="0.25">
      <c r="A386" s="24"/>
      <c r="E386" s="6"/>
      <c r="F386" s="7"/>
      <c r="AM386" s="8"/>
    </row>
    <row r="387" spans="1:39" ht="12.75" customHeight="1" x14ac:dyDescent="0.25">
      <c r="A387" s="24"/>
      <c r="E387" s="6"/>
      <c r="F387" s="7"/>
      <c r="AM387" s="8"/>
    </row>
    <row r="388" spans="1:39" ht="12.75" customHeight="1" x14ac:dyDescent="0.25">
      <c r="A388" s="24"/>
      <c r="E388" s="6"/>
      <c r="F388" s="7"/>
      <c r="AM388" s="8"/>
    </row>
    <row r="389" spans="1:39" ht="12.75" customHeight="1" x14ac:dyDescent="0.25">
      <c r="A389" s="24"/>
      <c r="E389" s="6"/>
      <c r="F389" s="7"/>
      <c r="AM389" s="8"/>
    </row>
    <row r="390" spans="1:39" ht="12.75" customHeight="1" x14ac:dyDescent="0.25">
      <c r="A390" s="24"/>
      <c r="E390" s="6"/>
      <c r="F390" s="7"/>
      <c r="AM390" s="8"/>
    </row>
    <row r="391" spans="1:39" ht="12.75" customHeight="1" x14ac:dyDescent="0.25">
      <c r="A391" s="24"/>
      <c r="E391" s="6"/>
      <c r="F391" s="7"/>
      <c r="AM391" s="8"/>
    </row>
    <row r="392" spans="1:39" ht="12.75" customHeight="1" x14ac:dyDescent="0.25">
      <c r="A392" s="24"/>
      <c r="E392" s="6"/>
      <c r="F392" s="7"/>
      <c r="AM392" s="8"/>
    </row>
    <row r="393" spans="1:39" ht="12.75" customHeight="1" x14ac:dyDescent="0.25">
      <c r="A393" s="24"/>
      <c r="E393" s="6"/>
      <c r="F393" s="7"/>
      <c r="AM393" s="8"/>
    </row>
    <row r="394" spans="1:39" ht="12.75" customHeight="1" x14ac:dyDescent="0.25">
      <c r="A394" s="24"/>
      <c r="E394" s="6"/>
      <c r="F394" s="7"/>
      <c r="AM394" s="8"/>
    </row>
    <row r="395" spans="1:39" ht="12.75" customHeight="1" x14ac:dyDescent="0.25">
      <c r="A395" s="24"/>
      <c r="E395" s="6"/>
      <c r="F395" s="7"/>
      <c r="AM395" s="8"/>
    </row>
    <row r="396" spans="1:39" ht="12.75" customHeight="1" x14ac:dyDescent="0.25">
      <c r="A396" s="24"/>
      <c r="E396" s="6"/>
      <c r="F396" s="7"/>
      <c r="AM396" s="8"/>
    </row>
    <row r="397" spans="1:39" ht="12.75" customHeight="1" x14ac:dyDescent="0.25">
      <c r="A397" s="24"/>
      <c r="E397" s="6"/>
      <c r="F397" s="7"/>
      <c r="AM397" s="8"/>
    </row>
    <row r="398" spans="1:39" ht="12.75" customHeight="1" x14ac:dyDescent="0.25">
      <c r="A398" s="24"/>
      <c r="E398" s="6"/>
      <c r="F398" s="7"/>
      <c r="AM398" s="8"/>
    </row>
    <row r="399" spans="1:39" ht="12.75" customHeight="1" x14ac:dyDescent="0.25">
      <c r="A399" s="24"/>
      <c r="E399" s="6"/>
      <c r="F399" s="7"/>
      <c r="AM399" s="8"/>
    </row>
    <row r="400" spans="1:39" ht="12.75" customHeight="1" x14ac:dyDescent="0.25">
      <c r="A400" s="24"/>
      <c r="E400" s="6"/>
      <c r="F400" s="7"/>
      <c r="AM400" s="8"/>
    </row>
    <row r="401" spans="1:39" ht="12.75" customHeight="1" x14ac:dyDescent="0.25">
      <c r="A401" s="24"/>
      <c r="E401" s="6"/>
      <c r="F401" s="7"/>
      <c r="AM401" s="8"/>
    </row>
    <row r="402" spans="1:39" ht="12.75" customHeight="1" x14ac:dyDescent="0.25">
      <c r="A402" s="24"/>
      <c r="E402" s="6"/>
      <c r="F402" s="7"/>
      <c r="AM402" s="8"/>
    </row>
    <row r="403" spans="1:39" ht="12.75" customHeight="1" x14ac:dyDescent="0.25">
      <c r="A403" s="24"/>
      <c r="E403" s="6"/>
      <c r="F403" s="7"/>
      <c r="AM403" s="8"/>
    </row>
    <row r="404" spans="1:39" ht="12.75" customHeight="1" x14ac:dyDescent="0.25">
      <c r="A404" s="24"/>
      <c r="E404" s="6"/>
      <c r="F404" s="7"/>
      <c r="AM404" s="8"/>
    </row>
    <row r="405" spans="1:39" ht="12.75" customHeight="1" x14ac:dyDescent="0.25">
      <c r="A405" s="24"/>
      <c r="E405" s="6"/>
      <c r="F405" s="7"/>
      <c r="AM405" s="8"/>
    </row>
    <row r="406" spans="1:39" ht="12.75" customHeight="1" x14ac:dyDescent="0.25">
      <c r="A406" s="24"/>
      <c r="E406" s="6"/>
      <c r="F406" s="7"/>
      <c r="AM406" s="8"/>
    </row>
    <row r="407" spans="1:39" ht="12.75" customHeight="1" x14ac:dyDescent="0.25">
      <c r="A407" s="24"/>
      <c r="E407" s="6"/>
      <c r="F407" s="7"/>
      <c r="AM407" s="8"/>
    </row>
    <row r="408" spans="1:39" ht="12.75" customHeight="1" x14ac:dyDescent="0.25">
      <c r="A408" s="24"/>
      <c r="E408" s="6"/>
      <c r="F408" s="7"/>
      <c r="AM408" s="8"/>
    </row>
    <row r="409" spans="1:39" ht="12.75" customHeight="1" x14ac:dyDescent="0.25">
      <c r="A409" s="24"/>
      <c r="E409" s="6"/>
      <c r="F409" s="7"/>
      <c r="AM409" s="8"/>
    </row>
    <row r="410" spans="1:39" ht="12.75" customHeight="1" x14ac:dyDescent="0.25">
      <c r="A410" s="24"/>
      <c r="E410" s="6"/>
      <c r="F410" s="7"/>
      <c r="AM410" s="8"/>
    </row>
    <row r="411" spans="1:39" ht="12.75" customHeight="1" x14ac:dyDescent="0.25">
      <c r="A411" s="24"/>
      <c r="E411" s="6"/>
      <c r="F411" s="7"/>
      <c r="AM411" s="8"/>
    </row>
    <row r="412" spans="1:39" ht="12.75" customHeight="1" x14ac:dyDescent="0.25">
      <c r="A412" s="24"/>
      <c r="E412" s="6"/>
      <c r="F412" s="7"/>
      <c r="AM412" s="8"/>
    </row>
    <row r="413" spans="1:39" ht="12.75" customHeight="1" x14ac:dyDescent="0.25">
      <c r="A413" s="24"/>
      <c r="E413" s="6"/>
      <c r="F413" s="7"/>
      <c r="AM413" s="8"/>
    </row>
    <row r="414" spans="1:39" ht="12.75" customHeight="1" x14ac:dyDescent="0.25">
      <c r="A414" s="24"/>
      <c r="E414" s="6"/>
      <c r="F414" s="7"/>
      <c r="AM414" s="8"/>
    </row>
    <row r="415" spans="1:39" ht="12.75" customHeight="1" x14ac:dyDescent="0.25">
      <c r="A415" s="24"/>
      <c r="E415" s="6"/>
      <c r="F415" s="7"/>
      <c r="AM415" s="8"/>
    </row>
    <row r="416" spans="1:39" ht="12.75" customHeight="1" x14ac:dyDescent="0.25">
      <c r="A416" s="24"/>
      <c r="E416" s="6"/>
      <c r="F416" s="7"/>
      <c r="AM416" s="8"/>
    </row>
    <row r="417" spans="1:39" ht="12.75" customHeight="1" x14ac:dyDescent="0.25">
      <c r="A417" s="24"/>
      <c r="E417" s="6"/>
      <c r="F417" s="7"/>
      <c r="AM417" s="8"/>
    </row>
    <row r="418" spans="1:39" ht="12.75" customHeight="1" x14ac:dyDescent="0.25">
      <c r="A418" s="24"/>
      <c r="E418" s="6"/>
      <c r="F418" s="7"/>
      <c r="AM418" s="8"/>
    </row>
    <row r="419" spans="1:39" ht="12.75" customHeight="1" x14ac:dyDescent="0.25">
      <c r="A419" s="24"/>
      <c r="E419" s="6"/>
      <c r="F419" s="7"/>
      <c r="AM419" s="8"/>
    </row>
    <row r="420" spans="1:39" ht="12.75" customHeight="1" x14ac:dyDescent="0.25">
      <c r="A420" s="24"/>
      <c r="E420" s="6"/>
      <c r="F420" s="7"/>
      <c r="AM420" s="8"/>
    </row>
    <row r="421" spans="1:39" ht="12.75" customHeight="1" x14ac:dyDescent="0.25">
      <c r="A421" s="24"/>
      <c r="E421" s="6"/>
      <c r="F421" s="7"/>
      <c r="AM421" s="8"/>
    </row>
    <row r="422" spans="1:39" ht="12.75" customHeight="1" x14ac:dyDescent="0.25">
      <c r="A422" s="24"/>
      <c r="E422" s="6"/>
      <c r="F422" s="7"/>
      <c r="AM422" s="8"/>
    </row>
    <row r="423" spans="1:39" ht="12.75" customHeight="1" x14ac:dyDescent="0.25">
      <c r="A423" s="24"/>
      <c r="E423" s="6"/>
      <c r="F423" s="7"/>
      <c r="AM423" s="8"/>
    </row>
    <row r="424" spans="1:39" ht="12.75" customHeight="1" x14ac:dyDescent="0.25">
      <c r="A424" s="24"/>
      <c r="E424" s="6"/>
      <c r="F424" s="7"/>
      <c r="AM424" s="8"/>
    </row>
    <row r="425" spans="1:39" ht="12.75" customHeight="1" x14ac:dyDescent="0.25">
      <c r="A425" s="24"/>
      <c r="E425" s="6"/>
      <c r="F425" s="7"/>
      <c r="AM425" s="8"/>
    </row>
    <row r="426" spans="1:39" ht="12.75" customHeight="1" x14ac:dyDescent="0.25">
      <c r="A426" s="24"/>
      <c r="E426" s="6"/>
      <c r="F426" s="7"/>
      <c r="AM426" s="8"/>
    </row>
    <row r="427" spans="1:39" ht="12.75" customHeight="1" x14ac:dyDescent="0.25">
      <c r="A427" s="24"/>
      <c r="E427" s="6"/>
      <c r="F427" s="7"/>
      <c r="AM427" s="8"/>
    </row>
    <row r="428" spans="1:39" ht="12.75" customHeight="1" x14ac:dyDescent="0.25">
      <c r="A428" s="24"/>
      <c r="E428" s="6"/>
      <c r="F428" s="7"/>
      <c r="AM428" s="8"/>
    </row>
    <row r="429" spans="1:39" ht="12.75" customHeight="1" x14ac:dyDescent="0.25">
      <c r="A429" s="24"/>
      <c r="E429" s="6"/>
      <c r="F429" s="7"/>
      <c r="AM429" s="8"/>
    </row>
    <row r="430" spans="1:39" ht="12.75" customHeight="1" x14ac:dyDescent="0.25">
      <c r="A430" s="24"/>
      <c r="E430" s="6"/>
      <c r="F430" s="7"/>
      <c r="AM430" s="8"/>
    </row>
    <row r="431" spans="1:39" ht="12.75" customHeight="1" x14ac:dyDescent="0.25">
      <c r="A431" s="24"/>
      <c r="E431" s="6"/>
      <c r="F431" s="7"/>
      <c r="AM431" s="8"/>
    </row>
    <row r="432" spans="1:39" ht="12.75" customHeight="1" x14ac:dyDescent="0.25">
      <c r="A432" s="24"/>
      <c r="E432" s="6"/>
      <c r="F432" s="7"/>
      <c r="AM432" s="8"/>
    </row>
    <row r="433" spans="1:39" ht="12.75" customHeight="1" x14ac:dyDescent="0.25">
      <c r="A433" s="24"/>
      <c r="E433" s="6"/>
      <c r="F433" s="7"/>
      <c r="AM433" s="8"/>
    </row>
    <row r="434" spans="1:39" ht="12.75" customHeight="1" x14ac:dyDescent="0.25">
      <c r="A434" s="24"/>
      <c r="E434" s="6"/>
      <c r="F434" s="7"/>
      <c r="AM434" s="8"/>
    </row>
    <row r="435" spans="1:39" ht="12.75" customHeight="1" x14ac:dyDescent="0.25">
      <c r="A435" s="24"/>
      <c r="E435" s="6"/>
      <c r="F435" s="7"/>
      <c r="AM435" s="8"/>
    </row>
    <row r="436" spans="1:39" ht="12.75" customHeight="1" x14ac:dyDescent="0.25">
      <c r="A436" s="24"/>
      <c r="E436" s="6"/>
      <c r="F436" s="7"/>
      <c r="AM436" s="8"/>
    </row>
    <row r="437" spans="1:39" ht="12.75" customHeight="1" x14ac:dyDescent="0.25">
      <c r="A437" s="24"/>
      <c r="E437" s="6"/>
      <c r="F437" s="7"/>
      <c r="AM437" s="8"/>
    </row>
    <row r="438" spans="1:39" ht="12.75" customHeight="1" x14ac:dyDescent="0.25">
      <c r="A438" s="24"/>
      <c r="E438" s="6"/>
      <c r="F438" s="7"/>
      <c r="AM438" s="8"/>
    </row>
    <row r="439" spans="1:39" ht="12.75" customHeight="1" x14ac:dyDescent="0.25">
      <c r="A439" s="24"/>
      <c r="E439" s="6"/>
      <c r="F439" s="7"/>
      <c r="AM439" s="8"/>
    </row>
    <row r="440" spans="1:39" ht="12.75" customHeight="1" x14ac:dyDescent="0.25">
      <c r="A440" s="24"/>
      <c r="E440" s="6"/>
      <c r="F440" s="7"/>
      <c r="AM440" s="8"/>
    </row>
    <row r="441" spans="1:39" ht="12.75" customHeight="1" x14ac:dyDescent="0.25">
      <c r="A441" s="24"/>
      <c r="E441" s="6"/>
      <c r="F441" s="7"/>
      <c r="AM441" s="8"/>
    </row>
    <row r="442" spans="1:39" ht="12.75" customHeight="1" x14ac:dyDescent="0.25">
      <c r="A442" s="24"/>
      <c r="E442" s="6"/>
      <c r="F442" s="7"/>
      <c r="AM442" s="8"/>
    </row>
    <row r="443" spans="1:39" ht="12.75" customHeight="1" x14ac:dyDescent="0.25">
      <c r="A443" s="24"/>
      <c r="E443" s="6"/>
      <c r="F443" s="7"/>
      <c r="AM443" s="8"/>
    </row>
    <row r="444" spans="1:39" ht="12.75" customHeight="1" x14ac:dyDescent="0.25">
      <c r="A444" s="24"/>
      <c r="E444" s="6"/>
      <c r="F444" s="7"/>
      <c r="AM444" s="8"/>
    </row>
    <row r="445" spans="1:39" ht="12.75" customHeight="1" x14ac:dyDescent="0.25">
      <c r="A445" s="24"/>
      <c r="E445" s="6"/>
      <c r="F445" s="7"/>
      <c r="AM445" s="8"/>
    </row>
    <row r="446" spans="1:39" ht="12.75" customHeight="1" x14ac:dyDescent="0.25">
      <c r="A446" s="24"/>
      <c r="E446" s="6"/>
      <c r="F446" s="7"/>
      <c r="AM446" s="8"/>
    </row>
    <row r="447" spans="1:39" ht="12.75" customHeight="1" x14ac:dyDescent="0.25">
      <c r="A447" s="24"/>
      <c r="E447" s="6"/>
      <c r="F447" s="7"/>
      <c r="AM447" s="8"/>
    </row>
    <row r="448" spans="1:39" ht="12.75" customHeight="1" x14ac:dyDescent="0.25">
      <c r="A448" s="24"/>
      <c r="E448" s="6"/>
      <c r="F448" s="7"/>
      <c r="AM448" s="8"/>
    </row>
    <row r="449" spans="1:39" ht="12.75" customHeight="1" x14ac:dyDescent="0.25">
      <c r="A449" s="24"/>
      <c r="E449" s="6"/>
      <c r="F449" s="7"/>
      <c r="AM449" s="8"/>
    </row>
    <row r="450" spans="1:39" ht="12.75" customHeight="1" x14ac:dyDescent="0.25">
      <c r="A450" s="24"/>
      <c r="E450" s="6"/>
      <c r="F450" s="7"/>
      <c r="AM450" s="8"/>
    </row>
    <row r="451" spans="1:39" ht="12.75" customHeight="1" x14ac:dyDescent="0.25">
      <c r="A451" s="24"/>
      <c r="E451" s="6"/>
      <c r="F451" s="7"/>
      <c r="AM451" s="8"/>
    </row>
    <row r="452" spans="1:39" ht="12.75" customHeight="1" x14ac:dyDescent="0.25">
      <c r="A452" s="24"/>
      <c r="E452" s="6"/>
      <c r="F452" s="7"/>
      <c r="AM452" s="8"/>
    </row>
    <row r="453" spans="1:39" ht="12.75" customHeight="1" x14ac:dyDescent="0.25">
      <c r="A453" s="24"/>
      <c r="E453" s="6"/>
      <c r="F453" s="7"/>
      <c r="AM453" s="8"/>
    </row>
    <row r="454" spans="1:39" ht="12.75" customHeight="1" x14ac:dyDescent="0.25">
      <c r="A454" s="24"/>
      <c r="E454" s="6"/>
      <c r="F454" s="7"/>
      <c r="AM454" s="8"/>
    </row>
    <row r="455" spans="1:39" ht="12.75" customHeight="1" x14ac:dyDescent="0.25">
      <c r="A455" s="24"/>
      <c r="E455" s="6"/>
      <c r="F455" s="7"/>
      <c r="AM455" s="8"/>
    </row>
    <row r="456" spans="1:39" ht="12.75" customHeight="1" x14ac:dyDescent="0.25">
      <c r="A456" s="24"/>
      <c r="E456" s="6"/>
      <c r="F456" s="7"/>
      <c r="AM456" s="8"/>
    </row>
    <row r="457" spans="1:39" ht="12.75" customHeight="1" x14ac:dyDescent="0.25">
      <c r="A457" s="24"/>
      <c r="E457" s="6"/>
      <c r="F457" s="7"/>
      <c r="AM457" s="8"/>
    </row>
    <row r="458" spans="1:39" ht="12.75" customHeight="1" x14ac:dyDescent="0.25">
      <c r="A458" s="24"/>
      <c r="E458" s="6"/>
      <c r="F458" s="7"/>
      <c r="AM458" s="8"/>
    </row>
    <row r="459" spans="1:39" ht="12.75" customHeight="1" x14ac:dyDescent="0.25">
      <c r="A459" s="24"/>
      <c r="E459" s="6"/>
      <c r="F459" s="7"/>
      <c r="AM459" s="8"/>
    </row>
    <row r="460" spans="1:39" ht="12.75" customHeight="1" x14ac:dyDescent="0.25">
      <c r="A460" s="24"/>
      <c r="E460" s="6"/>
      <c r="F460" s="7"/>
      <c r="AM460" s="8"/>
    </row>
    <row r="461" spans="1:39" ht="12.75" customHeight="1" x14ac:dyDescent="0.25">
      <c r="A461" s="24"/>
      <c r="E461" s="6"/>
      <c r="F461" s="7"/>
      <c r="AM461" s="8"/>
    </row>
    <row r="462" spans="1:39" ht="12.75" customHeight="1" x14ac:dyDescent="0.25">
      <c r="A462" s="24"/>
      <c r="E462" s="6"/>
      <c r="F462" s="7"/>
      <c r="AM462" s="8"/>
    </row>
    <row r="463" spans="1:39" ht="12.75" customHeight="1" x14ac:dyDescent="0.25">
      <c r="A463" s="24"/>
      <c r="E463" s="6"/>
      <c r="F463" s="7"/>
      <c r="AM463" s="8"/>
    </row>
    <row r="464" spans="1:39" ht="12.75" customHeight="1" x14ac:dyDescent="0.25">
      <c r="A464" s="24"/>
      <c r="E464" s="6"/>
      <c r="F464" s="7"/>
      <c r="AM464" s="8"/>
    </row>
    <row r="465" spans="1:39" ht="12.75" customHeight="1" x14ac:dyDescent="0.25">
      <c r="A465" s="24"/>
      <c r="E465" s="6"/>
      <c r="F465" s="7"/>
      <c r="AM465" s="8"/>
    </row>
    <row r="466" spans="1:39" ht="12.75" customHeight="1" x14ac:dyDescent="0.25">
      <c r="A466" s="24"/>
      <c r="E466" s="6"/>
      <c r="F466" s="7"/>
      <c r="AM466" s="8"/>
    </row>
    <row r="467" spans="1:39" ht="12.75" customHeight="1" x14ac:dyDescent="0.25">
      <c r="A467" s="24"/>
      <c r="E467" s="6"/>
      <c r="F467" s="7"/>
      <c r="AM467" s="8"/>
    </row>
    <row r="468" spans="1:39" ht="12.75" customHeight="1" x14ac:dyDescent="0.25">
      <c r="A468" s="24"/>
      <c r="E468" s="6"/>
      <c r="F468" s="7"/>
      <c r="AM468" s="8"/>
    </row>
    <row r="469" spans="1:39" ht="12.75" customHeight="1" x14ac:dyDescent="0.25">
      <c r="A469" s="24"/>
      <c r="E469" s="6"/>
      <c r="F469" s="7"/>
      <c r="AM469" s="8"/>
    </row>
    <row r="470" spans="1:39" ht="12.75" customHeight="1" x14ac:dyDescent="0.25">
      <c r="A470" s="24"/>
      <c r="E470" s="6"/>
      <c r="F470" s="7"/>
      <c r="AM470" s="8"/>
    </row>
    <row r="471" spans="1:39" ht="12.75" customHeight="1" x14ac:dyDescent="0.25">
      <c r="A471" s="24"/>
      <c r="E471" s="6"/>
      <c r="F471" s="7"/>
      <c r="AM471" s="8"/>
    </row>
    <row r="472" spans="1:39" ht="12.75" customHeight="1" x14ac:dyDescent="0.25">
      <c r="A472" s="24"/>
      <c r="E472" s="6"/>
      <c r="F472" s="7"/>
      <c r="AM472" s="8"/>
    </row>
    <row r="473" spans="1:39" ht="12.75" customHeight="1" x14ac:dyDescent="0.25">
      <c r="A473" s="24"/>
      <c r="E473" s="6"/>
      <c r="F473" s="7"/>
      <c r="AM473" s="8"/>
    </row>
    <row r="474" spans="1:39" ht="12.75" customHeight="1" x14ac:dyDescent="0.25">
      <c r="A474" s="24"/>
      <c r="E474" s="6"/>
      <c r="F474" s="7"/>
      <c r="AM474" s="8"/>
    </row>
    <row r="475" spans="1:39" ht="12.75" customHeight="1" x14ac:dyDescent="0.25">
      <c r="A475" s="24"/>
      <c r="E475" s="6"/>
      <c r="F475" s="7"/>
      <c r="AM475" s="8"/>
    </row>
    <row r="476" spans="1:39" ht="12.75" customHeight="1" x14ac:dyDescent="0.25">
      <c r="A476" s="24"/>
      <c r="E476" s="6"/>
      <c r="F476" s="7"/>
      <c r="AM476" s="8"/>
    </row>
    <row r="477" spans="1:39" ht="12.75" customHeight="1" x14ac:dyDescent="0.25">
      <c r="A477" s="24"/>
      <c r="E477" s="6"/>
      <c r="F477" s="7"/>
      <c r="AM477" s="8"/>
    </row>
    <row r="478" spans="1:39" ht="12.75" customHeight="1" x14ac:dyDescent="0.25">
      <c r="A478" s="24"/>
      <c r="E478" s="6"/>
      <c r="F478" s="7"/>
      <c r="AM478" s="8"/>
    </row>
    <row r="479" spans="1:39" ht="12.75" customHeight="1" x14ac:dyDescent="0.25">
      <c r="A479" s="24"/>
      <c r="E479" s="6"/>
      <c r="F479" s="7"/>
      <c r="AM479" s="8"/>
    </row>
    <row r="480" spans="1:39" ht="12.75" customHeight="1" x14ac:dyDescent="0.25">
      <c r="A480" s="24"/>
      <c r="E480" s="6"/>
      <c r="F480" s="7"/>
      <c r="AM480" s="8"/>
    </row>
    <row r="481" spans="1:39" ht="12.75" customHeight="1" x14ac:dyDescent="0.25">
      <c r="A481" s="24"/>
      <c r="E481" s="6"/>
      <c r="F481" s="7"/>
      <c r="AM481" s="8"/>
    </row>
    <row r="482" spans="1:39" ht="12.75" customHeight="1" x14ac:dyDescent="0.25">
      <c r="A482" s="24"/>
      <c r="E482" s="6"/>
      <c r="F482" s="7"/>
      <c r="AM482" s="8"/>
    </row>
    <row r="483" spans="1:39" ht="12.75" customHeight="1" x14ac:dyDescent="0.25">
      <c r="A483" s="24"/>
      <c r="E483" s="6"/>
      <c r="F483" s="7"/>
      <c r="AM483" s="8"/>
    </row>
    <row r="484" spans="1:39" ht="12.75" customHeight="1" x14ac:dyDescent="0.25">
      <c r="A484" s="24"/>
      <c r="E484" s="6"/>
      <c r="F484" s="7"/>
      <c r="AM484" s="8"/>
    </row>
    <row r="485" spans="1:39" ht="12.75" customHeight="1" x14ac:dyDescent="0.25">
      <c r="A485" s="24"/>
      <c r="E485" s="6"/>
      <c r="F485" s="7"/>
      <c r="AM485" s="8"/>
    </row>
    <row r="486" spans="1:39" ht="12.75" customHeight="1" x14ac:dyDescent="0.25">
      <c r="A486" s="24"/>
      <c r="E486" s="6"/>
      <c r="F486" s="7"/>
      <c r="AM486" s="8"/>
    </row>
    <row r="487" spans="1:39" ht="12.75" customHeight="1" x14ac:dyDescent="0.25">
      <c r="A487" s="24"/>
      <c r="E487" s="6"/>
      <c r="F487" s="7"/>
      <c r="AM487" s="8"/>
    </row>
    <row r="488" spans="1:39" ht="12.75" customHeight="1" x14ac:dyDescent="0.25">
      <c r="A488" s="24"/>
      <c r="E488" s="6"/>
      <c r="F488" s="7"/>
      <c r="AM488" s="8"/>
    </row>
    <row r="489" spans="1:39" ht="12.75" customHeight="1" x14ac:dyDescent="0.25">
      <c r="A489" s="24"/>
      <c r="E489" s="6"/>
      <c r="F489" s="7"/>
      <c r="AM489" s="8"/>
    </row>
    <row r="490" spans="1:39" ht="12.75" customHeight="1" x14ac:dyDescent="0.25">
      <c r="A490" s="24"/>
      <c r="E490" s="6"/>
      <c r="F490" s="7"/>
      <c r="AM490" s="8"/>
    </row>
    <row r="491" spans="1:39" ht="12.75" customHeight="1" x14ac:dyDescent="0.25">
      <c r="A491" s="24"/>
      <c r="E491" s="6"/>
      <c r="F491" s="7"/>
      <c r="AM491" s="8"/>
    </row>
    <row r="492" spans="1:39" ht="12.75" customHeight="1" x14ac:dyDescent="0.25">
      <c r="A492" s="24"/>
      <c r="E492" s="6"/>
      <c r="F492" s="7"/>
      <c r="AM492" s="8"/>
    </row>
    <row r="493" spans="1:39" ht="12.75" customHeight="1" x14ac:dyDescent="0.25">
      <c r="A493" s="24"/>
      <c r="E493" s="6"/>
      <c r="F493" s="7"/>
      <c r="AM493" s="8"/>
    </row>
    <row r="494" spans="1:39" ht="12.75" customHeight="1" x14ac:dyDescent="0.25">
      <c r="A494" s="24"/>
      <c r="E494" s="6"/>
      <c r="F494" s="7"/>
      <c r="AM494" s="8"/>
    </row>
    <row r="495" spans="1:39" ht="12.75" customHeight="1" x14ac:dyDescent="0.25">
      <c r="A495" s="24"/>
      <c r="E495" s="6"/>
      <c r="F495" s="7"/>
      <c r="AM495" s="8"/>
    </row>
    <row r="496" spans="1:39" ht="12.75" customHeight="1" x14ac:dyDescent="0.25">
      <c r="A496" s="24"/>
      <c r="E496" s="6"/>
      <c r="F496" s="7"/>
      <c r="AM496" s="8"/>
    </row>
    <row r="497" spans="1:39" ht="12.75" customHeight="1" x14ac:dyDescent="0.25">
      <c r="A497" s="24"/>
      <c r="E497" s="6"/>
      <c r="F497" s="7"/>
      <c r="AM497" s="8"/>
    </row>
    <row r="498" spans="1:39" ht="12.75" customHeight="1" x14ac:dyDescent="0.25">
      <c r="A498" s="24"/>
      <c r="E498" s="6"/>
      <c r="F498" s="7"/>
      <c r="AM498" s="8"/>
    </row>
    <row r="499" spans="1:39" ht="12.75" customHeight="1" x14ac:dyDescent="0.25">
      <c r="A499" s="24"/>
      <c r="E499" s="6"/>
      <c r="F499" s="7"/>
      <c r="AM499" s="8"/>
    </row>
    <row r="500" spans="1:39" ht="12.75" customHeight="1" x14ac:dyDescent="0.25">
      <c r="A500" s="24"/>
      <c r="E500" s="6"/>
      <c r="F500" s="7"/>
      <c r="AM500" s="8"/>
    </row>
    <row r="501" spans="1:39" ht="12.75" customHeight="1" x14ac:dyDescent="0.25">
      <c r="A501" s="24"/>
      <c r="E501" s="6"/>
      <c r="F501" s="7"/>
      <c r="AM501" s="8"/>
    </row>
    <row r="502" spans="1:39" ht="12.75" customHeight="1" x14ac:dyDescent="0.25">
      <c r="A502" s="24"/>
      <c r="E502" s="6"/>
      <c r="F502" s="7"/>
      <c r="AM502" s="8"/>
    </row>
    <row r="503" spans="1:39" ht="12.75" customHeight="1" x14ac:dyDescent="0.25">
      <c r="A503" s="24"/>
      <c r="E503" s="6"/>
      <c r="F503" s="7"/>
      <c r="AM503" s="8"/>
    </row>
    <row r="504" spans="1:39" ht="12.75" customHeight="1" x14ac:dyDescent="0.25">
      <c r="A504" s="24"/>
      <c r="E504" s="6"/>
      <c r="F504" s="7"/>
      <c r="AM504" s="8"/>
    </row>
    <row r="505" spans="1:39" ht="12.75" customHeight="1" x14ac:dyDescent="0.25">
      <c r="A505" s="24"/>
      <c r="E505" s="6"/>
      <c r="F505" s="7"/>
      <c r="AM505" s="8"/>
    </row>
    <row r="506" spans="1:39" ht="12.75" customHeight="1" x14ac:dyDescent="0.25">
      <c r="A506" s="24"/>
      <c r="E506" s="6"/>
      <c r="F506" s="7"/>
      <c r="AM506" s="8"/>
    </row>
    <row r="507" spans="1:39" ht="12.75" customHeight="1" x14ac:dyDescent="0.25">
      <c r="A507" s="24"/>
      <c r="E507" s="6"/>
      <c r="F507" s="7"/>
      <c r="AM507" s="8"/>
    </row>
    <row r="508" spans="1:39" ht="12.75" customHeight="1" x14ac:dyDescent="0.25">
      <c r="A508" s="24"/>
      <c r="E508" s="6"/>
      <c r="F508" s="7"/>
      <c r="AM508" s="8"/>
    </row>
    <row r="509" spans="1:39" ht="12.75" customHeight="1" x14ac:dyDescent="0.25">
      <c r="A509" s="24"/>
      <c r="E509" s="6"/>
      <c r="F509" s="7"/>
      <c r="AM509" s="8"/>
    </row>
    <row r="510" spans="1:39" ht="12.75" customHeight="1" x14ac:dyDescent="0.25">
      <c r="A510" s="24"/>
      <c r="E510" s="6"/>
      <c r="F510" s="7"/>
      <c r="AM510" s="8"/>
    </row>
    <row r="511" spans="1:39" ht="12.75" customHeight="1" x14ac:dyDescent="0.25">
      <c r="A511" s="24"/>
      <c r="E511" s="6"/>
      <c r="F511" s="7"/>
      <c r="AM511" s="8"/>
    </row>
    <row r="512" spans="1:39" ht="12.75" customHeight="1" x14ac:dyDescent="0.25">
      <c r="A512" s="24"/>
      <c r="E512" s="6"/>
      <c r="F512" s="7"/>
      <c r="AM512" s="8"/>
    </row>
    <row r="513" spans="1:39" ht="12.75" customHeight="1" x14ac:dyDescent="0.25">
      <c r="A513" s="24"/>
      <c r="E513" s="6"/>
      <c r="F513" s="7"/>
      <c r="AM513" s="8"/>
    </row>
    <row r="514" spans="1:39" ht="12.75" customHeight="1" x14ac:dyDescent="0.25">
      <c r="A514" s="24"/>
      <c r="E514" s="6"/>
      <c r="F514" s="7"/>
      <c r="AM514" s="8"/>
    </row>
    <row r="515" spans="1:39" ht="12.75" customHeight="1" x14ac:dyDescent="0.25">
      <c r="A515" s="24"/>
      <c r="E515" s="6"/>
      <c r="F515" s="7"/>
      <c r="AM515" s="8"/>
    </row>
    <row r="516" spans="1:39" ht="12.75" customHeight="1" x14ac:dyDescent="0.25">
      <c r="A516" s="24"/>
      <c r="E516" s="6"/>
      <c r="F516" s="7"/>
      <c r="AM516" s="8"/>
    </row>
    <row r="517" spans="1:39" ht="12.75" customHeight="1" x14ac:dyDescent="0.25">
      <c r="A517" s="24"/>
      <c r="E517" s="6"/>
      <c r="F517" s="7"/>
      <c r="AM517" s="8"/>
    </row>
    <row r="518" spans="1:39" ht="12.75" customHeight="1" x14ac:dyDescent="0.25">
      <c r="A518" s="24"/>
      <c r="E518" s="6"/>
      <c r="F518" s="7"/>
      <c r="AM518" s="8"/>
    </row>
    <row r="519" spans="1:39" ht="12.75" customHeight="1" x14ac:dyDescent="0.25">
      <c r="A519" s="24"/>
      <c r="E519" s="6"/>
      <c r="F519" s="7"/>
      <c r="AM519" s="8"/>
    </row>
    <row r="520" spans="1:39" ht="12.75" customHeight="1" x14ac:dyDescent="0.25">
      <c r="A520" s="24"/>
      <c r="E520" s="6"/>
      <c r="F520" s="7"/>
      <c r="AM520" s="8"/>
    </row>
    <row r="521" spans="1:39" ht="12.75" customHeight="1" x14ac:dyDescent="0.25">
      <c r="A521" s="24"/>
      <c r="E521" s="6"/>
      <c r="F521" s="7"/>
      <c r="AM521" s="8"/>
    </row>
    <row r="522" spans="1:39" ht="12.75" customHeight="1" x14ac:dyDescent="0.25">
      <c r="A522" s="24"/>
      <c r="E522" s="6"/>
      <c r="F522" s="7"/>
      <c r="AM522" s="8"/>
    </row>
    <row r="523" spans="1:39" ht="12.75" customHeight="1" x14ac:dyDescent="0.25">
      <c r="A523" s="24"/>
      <c r="E523" s="6"/>
      <c r="F523" s="7"/>
      <c r="AM523" s="8"/>
    </row>
    <row r="524" spans="1:39" ht="12.75" customHeight="1" x14ac:dyDescent="0.25">
      <c r="A524" s="24"/>
      <c r="E524" s="6"/>
      <c r="F524" s="7"/>
      <c r="AM524" s="8"/>
    </row>
    <row r="525" spans="1:39" ht="12.75" customHeight="1" x14ac:dyDescent="0.25">
      <c r="A525" s="24"/>
      <c r="E525" s="6"/>
      <c r="F525" s="7"/>
      <c r="AM525" s="8"/>
    </row>
    <row r="526" spans="1:39" ht="12.75" customHeight="1" x14ac:dyDescent="0.25">
      <c r="A526" s="24"/>
      <c r="E526" s="6"/>
      <c r="F526" s="7"/>
      <c r="AM526" s="8"/>
    </row>
    <row r="527" spans="1:39" ht="12.75" customHeight="1" x14ac:dyDescent="0.25">
      <c r="A527" s="24"/>
      <c r="E527" s="6"/>
      <c r="F527" s="7"/>
      <c r="AM527" s="8"/>
    </row>
    <row r="528" spans="1:39" ht="12.75" customHeight="1" x14ac:dyDescent="0.25">
      <c r="A528" s="24"/>
      <c r="E528" s="6"/>
      <c r="F528" s="7"/>
      <c r="AM528" s="8"/>
    </row>
    <row r="529" spans="1:39" ht="12.75" customHeight="1" x14ac:dyDescent="0.25">
      <c r="A529" s="24"/>
      <c r="E529" s="6"/>
      <c r="F529" s="7"/>
      <c r="AM529" s="8"/>
    </row>
    <row r="530" spans="1:39" ht="12.75" customHeight="1" x14ac:dyDescent="0.25">
      <c r="A530" s="24"/>
      <c r="E530" s="6"/>
      <c r="F530" s="7"/>
      <c r="AM530" s="8"/>
    </row>
    <row r="531" spans="1:39" ht="12.75" customHeight="1" x14ac:dyDescent="0.25">
      <c r="A531" s="24"/>
      <c r="E531" s="6"/>
      <c r="F531" s="7"/>
      <c r="AM531" s="8"/>
    </row>
    <row r="532" spans="1:39" ht="12.75" customHeight="1" x14ac:dyDescent="0.25">
      <c r="A532" s="24"/>
      <c r="E532" s="6"/>
      <c r="F532" s="7"/>
      <c r="AM532" s="8"/>
    </row>
    <row r="533" spans="1:39" ht="12.75" customHeight="1" x14ac:dyDescent="0.25">
      <c r="A533" s="24"/>
      <c r="E533" s="6"/>
      <c r="F533" s="7"/>
      <c r="AM533" s="8"/>
    </row>
    <row r="534" spans="1:39" ht="12.75" customHeight="1" x14ac:dyDescent="0.25">
      <c r="A534" s="24"/>
      <c r="E534" s="6"/>
      <c r="F534" s="7"/>
      <c r="AM534" s="8"/>
    </row>
    <row r="535" spans="1:39" ht="12.75" customHeight="1" x14ac:dyDescent="0.25">
      <c r="A535" s="24"/>
      <c r="E535" s="6"/>
      <c r="F535" s="7"/>
      <c r="AM535" s="8"/>
    </row>
    <row r="536" spans="1:39" ht="12.75" customHeight="1" x14ac:dyDescent="0.25">
      <c r="A536" s="24"/>
      <c r="E536" s="6"/>
      <c r="F536" s="7"/>
      <c r="AM536" s="8"/>
    </row>
    <row r="537" spans="1:39" ht="12.75" customHeight="1" x14ac:dyDescent="0.25">
      <c r="A537" s="24"/>
      <c r="E537" s="6"/>
      <c r="F537" s="7"/>
      <c r="AM537" s="8"/>
    </row>
    <row r="538" spans="1:39" ht="12.75" customHeight="1" x14ac:dyDescent="0.25">
      <c r="A538" s="24"/>
      <c r="E538" s="6"/>
      <c r="F538" s="7"/>
      <c r="AM538" s="8"/>
    </row>
    <row r="539" spans="1:39" ht="12.75" customHeight="1" x14ac:dyDescent="0.25">
      <c r="A539" s="24"/>
      <c r="E539" s="6"/>
      <c r="F539" s="7"/>
      <c r="AM539" s="8"/>
    </row>
    <row r="540" spans="1:39" ht="12.75" customHeight="1" x14ac:dyDescent="0.25">
      <c r="A540" s="24"/>
      <c r="E540" s="6"/>
      <c r="F540" s="7"/>
      <c r="AM540" s="8"/>
    </row>
    <row r="541" spans="1:39" ht="12.75" customHeight="1" x14ac:dyDescent="0.25">
      <c r="A541" s="24"/>
      <c r="E541" s="6"/>
      <c r="F541" s="7"/>
      <c r="AM541" s="8"/>
    </row>
    <row r="542" spans="1:39" ht="12.75" customHeight="1" x14ac:dyDescent="0.25">
      <c r="A542" s="24"/>
      <c r="E542" s="6"/>
      <c r="F542" s="7"/>
      <c r="AM542" s="8"/>
    </row>
    <row r="543" spans="1:39" ht="12.75" customHeight="1" x14ac:dyDescent="0.25">
      <c r="A543" s="24"/>
      <c r="E543" s="6"/>
      <c r="F543" s="7"/>
      <c r="AM543" s="8"/>
    </row>
    <row r="544" spans="1:39" ht="12.75" customHeight="1" x14ac:dyDescent="0.25">
      <c r="A544" s="24"/>
      <c r="E544" s="6"/>
      <c r="F544" s="7"/>
      <c r="AM544" s="8"/>
    </row>
    <row r="545" spans="1:39" ht="12.75" customHeight="1" x14ac:dyDescent="0.25">
      <c r="A545" s="24"/>
      <c r="E545" s="6"/>
      <c r="F545" s="7"/>
      <c r="AM545" s="8"/>
    </row>
    <row r="546" spans="1:39" ht="12.75" customHeight="1" x14ac:dyDescent="0.25">
      <c r="A546" s="24"/>
      <c r="E546" s="6"/>
      <c r="F546" s="7"/>
      <c r="AM546" s="8"/>
    </row>
    <row r="547" spans="1:39" ht="12.75" customHeight="1" x14ac:dyDescent="0.25">
      <c r="A547" s="24"/>
      <c r="E547" s="6"/>
      <c r="F547" s="7"/>
      <c r="AM547" s="8"/>
    </row>
    <row r="548" spans="1:39" ht="12.75" customHeight="1" x14ac:dyDescent="0.25">
      <c r="A548" s="24"/>
      <c r="E548" s="6"/>
      <c r="F548" s="7"/>
      <c r="AM548" s="8"/>
    </row>
    <row r="549" spans="1:39" ht="12.75" customHeight="1" x14ac:dyDescent="0.25">
      <c r="A549" s="24"/>
      <c r="E549" s="6"/>
      <c r="F549" s="7"/>
      <c r="AM549" s="8"/>
    </row>
    <row r="550" spans="1:39" ht="12.75" customHeight="1" x14ac:dyDescent="0.25">
      <c r="A550" s="24"/>
      <c r="E550" s="6"/>
      <c r="F550" s="7"/>
      <c r="AM550" s="8"/>
    </row>
    <row r="551" spans="1:39" ht="12.75" customHeight="1" x14ac:dyDescent="0.25">
      <c r="A551" s="24"/>
      <c r="E551" s="6"/>
      <c r="F551" s="7"/>
      <c r="AM551" s="8"/>
    </row>
    <row r="552" spans="1:39" ht="12.75" customHeight="1" x14ac:dyDescent="0.25">
      <c r="A552" s="24"/>
      <c r="E552" s="6"/>
      <c r="F552" s="7"/>
      <c r="AM552" s="8"/>
    </row>
    <row r="553" spans="1:39" ht="12.75" customHeight="1" x14ac:dyDescent="0.25">
      <c r="A553" s="24"/>
      <c r="E553" s="6"/>
      <c r="F553" s="7"/>
      <c r="AM553" s="8"/>
    </row>
    <row r="554" spans="1:39" ht="12.75" customHeight="1" x14ac:dyDescent="0.25">
      <c r="A554" s="24"/>
      <c r="E554" s="6"/>
      <c r="F554" s="7"/>
      <c r="AM554" s="8"/>
    </row>
    <row r="555" spans="1:39" ht="12.75" customHeight="1" x14ac:dyDescent="0.25">
      <c r="A555" s="24"/>
      <c r="E555" s="6"/>
      <c r="F555" s="7"/>
      <c r="AM555" s="8"/>
    </row>
    <row r="556" spans="1:39" ht="12.75" customHeight="1" x14ac:dyDescent="0.25">
      <c r="A556" s="24"/>
      <c r="E556" s="6"/>
      <c r="F556" s="7"/>
      <c r="AM556" s="8"/>
    </row>
    <row r="557" spans="1:39" ht="12.75" customHeight="1" x14ac:dyDescent="0.25">
      <c r="A557" s="24"/>
      <c r="E557" s="6"/>
      <c r="F557" s="7"/>
      <c r="AM557" s="8"/>
    </row>
    <row r="558" spans="1:39" ht="12.75" customHeight="1" x14ac:dyDescent="0.25">
      <c r="A558" s="24"/>
      <c r="E558" s="6"/>
      <c r="F558" s="7"/>
      <c r="AM558" s="8"/>
    </row>
    <row r="559" spans="1:39" ht="12.75" customHeight="1" x14ac:dyDescent="0.25">
      <c r="A559" s="24"/>
      <c r="E559" s="6"/>
      <c r="F559" s="7"/>
      <c r="AM559" s="8"/>
    </row>
    <row r="560" spans="1:39" ht="12.75" customHeight="1" x14ac:dyDescent="0.25">
      <c r="A560" s="24"/>
      <c r="E560" s="6"/>
      <c r="F560" s="7"/>
      <c r="AM560" s="8"/>
    </row>
    <row r="561" spans="1:39" ht="12.75" customHeight="1" x14ac:dyDescent="0.25">
      <c r="A561" s="24"/>
      <c r="E561" s="6"/>
      <c r="F561" s="7"/>
      <c r="AM561" s="8"/>
    </row>
    <row r="562" spans="1:39" ht="12.75" customHeight="1" x14ac:dyDescent="0.25">
      <c r="A562" s="24"/>
      <c r="E562" s="6"/>
      <c r="F562" s="7"/>
      <c r="AM562" s="8"/>
    </row>
    <row r="563" spans="1:39" ht="12.75" customHeight="1" x14ac:dyDescent="0.25">
      <c r="A563" s="24"/>
      <c r="E563" s="6"/>
      <c r="F563" s="7"/>
      <c r="AM563" s="8"/>
    </row>
    <row r="564" spans="1:39" ht="12.75" customHeight="1" x14ac:dyDescent="0.25">
      <c r="A564" s="24"/>
      <c r="E564" s="6"/>
      <c r="F564" s="7"/>
      <c r="AM564" s="8"/>
    </row>
    <row r="565" spans="1:39" ht="12.75" customHeight="1" x14ac:dyDescent="0.25">
      <c r="A565" s="24"/>
      <c r="E565" s="6"/>
      <c r="F565" s="7"/>
      <c r="AM565" s="8"/>
    </row>
    <row r="566" spans="1:39" ht="12.75" customHeight="1" x14ac:dyDescent="0.25">
      <c r="A566" s="24"/>
      <c r="E566" s="6"/>
      <c r="F566" s="7"/>
      <c r="AM566" s="8"/>
    </row>
    <row r="567" spans="1:39" ht="12.75" customHeight="1" x14ac:dyDescent="0.25">
      <c r="A567" s="24"/>
      <c r="E567" s="6"/>
      <c r="F567" s="7"/>
      <c r="AM567" s="8"/>
    </row>
    <row r="568" spans="1:39" ht="12.75" customHeight="1" x14ac:dyDescent="0.25">
      <c r="A568" s="24"/>
      <c r="E568" s="6"/>
      <c r="F568" s="7"/>
      <c r="AM568" s="8"/>
    </row>
    <row r="569" spans="1:39" ht="12.75" customHeight="1" x14ac:dyDescent="0.25">
      <c r="A569" s="24"/>
      <c r="E569" s="6"/>
      <c r="F569" s="7"/>
      <c r="AM569" s="8"/>
    </row>
    <row r="570" spans="1:39" ht="12.75" customHeight="1" x14ac:dyDescent="0.25">
      <c r="A570" s="24"/>
      <c r="E570" s="6"/>
      <c r="F570" s="7"/>
      <c r="AM570" s="8"/>
    </row>
    <row r="571" spans="1:39" ht="12.75" customHeight="1" x14ac:dyDescent="0.25">
      <c r="A571" s="24"/>
      <c r="E571" s="6"/>
      <c r="F571" s="7"/>
      <c r="AM571" s="8"/>
    </row>
    <row r="572" spans="1:39" ht="12.75" customHeight="1" x14ac:dyDescent="0.25">
      <c r="A572" s="24"/>
      <c r="E572" s="6"/>
      <c r="F572" s="7"/>
      <c r="AM572" s="8"/>
    </row>
    <row r="573" spans="1:39" ht="12.75" customHeight="1" x14ac:dyDescent="0.25">
      <c r="A573" s="24"/>
      <c r="E573" s="6"/>
      <c r="F573" s="7"/>
      <c r="AM573" s="8"/>
    </row>
    <row r="574" spans="1:39" ht="12.75" customHeight="1" x14ac:dyDescent="0.25">
      <c r="A574" s="24"/>
      <c r="E574" s="6"/>
      <c r="F574" s="7"/>
      <c r="AM574" s="8"/>
    </row>
    <row r="575" spans="1:39" ht="12.75" customHeight="1" x14ac:dyDescent="0.25">
      <c r="A575" s="24"/>
      <c r="E575" s="6"/>
      <c r="F575" s="7"/>
      <c r="AM575" s="8"/>
    </row>
    <row r="576" spans="1:39" ht="12.75" customHeight="1" x14ac:dyDescent="0.25">
      <c r="A576" s="24"/>
      <c r="E576" s="6"/>
      <c r="F576" s="7"/>
      <c r="AM576" s="8"/>
    </row>
    <row r="577" spans="1:39" ht="12.75" customHeight="1" x14ac:dyDescent="0.25">
      <c r="A577" s="24"/>
      <c r="E577" s="6"/>
      <c r="F577" s="7"/>
      <c r="AM577" s="8"/>
    </row>
    <row r="578" spans="1:39" ht="12.75" customHeight="1" x14ac:dyDescent="0.25">
      <c r="A578" s="24"/>
      <c r="E578" s="6"/>
      <c r="F578" s="7"/>
      <c r="AM578" s="8"/>
    </row>
    <row r="579" spans="1:39" ht="12.75" customHeight="1" x14ac:dyDescent="0.25">
      <c r="A579" s="24"/>
      <c r="E579" s="6"/>
      <c r="F579" s="7"/>
      <c r="AM579" s="8"/>
    </row>
    <row r="580" spans="1:39" ht="12.75" customHeight="1" x14ac:dyDescent="0.25">
      <c r="A580" s="24"/>
      <c r="E580" s="6"/>
      <c r="F580" s="7"/>
      <c r="AM580" s="8"/>
    </row>
    <row r="581" spans="1:39" ht="12.75" customHeight="1" x14ac:dyDescent="0.25">
      <c r="A581" s="24"/>
      <c r="E581" s="6"/>
      <c r="F581" s="7"/>
      <c r="AM581" s="8"/>
    </row>
    <row r="582" spans="1:39" ht="12.75" customHeight="1" x14ac:dyDescent="0.25">
      <c r="A582" s="24"/>
      <c r="E582" s="6"/>
      <c r="F582" s="7"/>
      <c r="AM582" s="8"/>
    </row>
    <row r="583" spans="1:39" ht="12.75" customHeight="1" x14ac:dyDescent="0.25">
      <c r="A583" s="24"/>
      <c r="E583" s="6"/>
      <c r="F583" s="7"/>
      <c r="AM583" s="8"/>
    </row>
    <row r="584" spans="1:39" ht="12.75" customHeight="1" x14ac:dyDescent="0.25">
      <c r="A584" s="24"/>
      <c r="E584" s="6"/>
      <c r="F584" s="7"/>
      <c r="AM584" s="8"/>
    </row>
    <row r="585" spans="1:39" ht="12.75" customHeight="1" x14ac:dyDescent="0.25">
      <c r="A585" s="24"/>
      <c r="E585" s="6"/>
      <c r="F585" s="7"/>
      <c r="AM585" s="8"/>
    </row>
    <row r="586" spans="1:39" ht="12.75" customHeight="1" x14ac:dyDescent="0.25">
      <c r="A586" s="24"/>
      <c r="E586" s="6"/>
      <c r="F586" s="7"/>
      <c r="AM586" s="8"/>
    </row>
    <row r="587" spans="1:39" ht="12.75" customHeight="1" x14ac:dyDescent="0.25">
      <c r="A587" s="24"/>
      <c r="E587" s="6"/>
      <c r="F587" s="7"/>
      <c r="AM587" s="8"/>
    </row>
    <row r="588" spans="1:39" ht="12.75" customHeight="1" x14ac:dyDescent="0.25">
      <c r="A588" s="24"/>
      <c r="E588" s="6"/>
      <c r="F588" s="7"/>
      <c r="AM588" s="8"/>
    </row>
    <row r="589" spans="1:39" ht="12.75" customHeight="1" x14ac:dyDescent="0.25">
      <c r="A589" s="24"/>
      <c r="E589" s="6"/>
      <c r="F589" s="7"/>
      <c r="AM589" s="8"/>
    </row>
    <row r="590" spans="1:39" ht="12.75" customHeight="1" x14ac:dyDescent="0.25">
      <c r="A590" s="24"/>
      <c r="E590" s="6"/>
      <c r="F590" s="7"/>
      <c r="AM590" s="8"/>
    </row>
    <row r="591" spans="1:39" ht="12.75" customHeight="1" x14ac:dyDescent="0.25">
      <c r="A591" s="24"/>
      <c r="E591" s="6"/>
      <c r="F591" s="7"/>
      <c r="AM591" s="8"/>
    </row>
    <row r="592" spans="1:39" ht="12.75" customHeight="1" x14ac:dyDescent="0.25">
      <c r="A592" s="24"/>
      <c r="E592" s="6"/>
      <c r="F592" s="7"/>
      <c r="AM592" s="8"/>
    </row>
    <row r="593" spans="1:39" ht="12.75" customHeight="1" x14ac:dyDescent="0.25">
      <c r="A593" s="24"/>
      <c r="E593" s="6"/>
      <c r="F593" s="7"/>
      <c r="AM593" s="8"/>
    </row>
    <row r="594" spans="1:39" ht="12.75" customHeight="1" x14ac:dyDescent="0.25">
      <c r="A594" s="24"/>
      <c r="E594" s="6"/>
      <c r="F594" s="7"/>
      <c r="AM594" s="8"/>
    </row>
    <row r="595" spans="1:39" ht="12.75" customHeight="1" x14ac:dyDescent="0.25">
      <c r="A595" s="24"/>
      <c r="E595" s="6"/>
      <c r="F595" s="7"/>
      <c r="AM595" s="8"/>
    </row>
    <row r="596" spans="1:39" ht="12.75" customHeight="1" x14ac:dyDescent="0.25">
      <c r="A596" s="24"/>
      <c r="E596" s="6"/>
      <c r="F596" s="7"/>
      <c r="AM596" s="8"/>
    </row>
    <row r="597" spans="1:39" ht="12.75" customHeight="1" x14ac:dyDescent="0.25">
      <c r="A597" s="24"/>
      <c r="E597" s="6"/>
      <c r="F597" s="7"/>
      <c r="AM597" s="8"/>
    </row>
    <row r="598" spans="1:39" ht="12.75" customHeight="1" x14ac:dyDescent="0.25">
      <c r="A598" s="24"/>
      <c r="E598" s="6"/>
      <c r="F598" s="7"/>
      <c r="AM598" s="8"/>
    </row>
    <row r="599" spans="1:39" ht="12.75" customHeight="1" x14ac:dyDescent="0.25">
      <c r="A599" s="24"/>
      <c r="E599" s="6"/>
      <c r="F599" s="7"/>
      <c r="AM599" s="8"/>
    </row>
    <row r="600" spans="1:39" ht="12.75" customHeight="1" x14ac:dyDescent="0.25">
      <c r="A600" s="24"/>
      <c r="E600" s="6"/>
      <c r="F600" s="7"/>
      <c r="AM600" s="8"/>
    </row>
    <row r="601" spans="1:39" ht="12.75" customHeight="1" x14ac:dyDescent="0.25">
      <c r="A601" s="24"/>
      <c r="E601" s="6"/>
      <c r="F601" s="7"/>
      <c r="AM601" s="8"/>
    </row>
    <row r="602" spans="1:39" ht="12.75" customHeight="1" x14ac:dyDescent="0.25">
      <c r="A602" s="24"/>
      <c r="E602" s="6"/>
      <c r="F602" s="7"/>
      <c r="AM602" s="8"/>
    </row>
    <row r="603" spans="1:39" ht="12.75" customHeight="1" x14ac:dyDescent="0.25">
      <c r="A603" s="24"/>
      <c r="E603" s="6"/>
      <c r="F603" s="7"/>
      <c r="AM603" s="8"/>
    </row>
    <row r="604" spans="1:39" ht="12.75" customHeight="1" x14ac:dyDescent="0.25">
      <c r="A604" s="24"/>
      <c r="E604" s="6"/>
      <c r="F604" s="7"/>
      <c r="AM604" s="8"/>
    </row>
    <row r="605" spans="1:39" ht="12.75" customHeight="1" x14ac:dyDescent="0.25">
      <c r="A605" s="24"/>
      <c r="E605" s="6"/>
      <c r="F605" s="7"/>
      <c r="AM605" s="8"/>
    </row>
    <row r="606" spans="1:39" ht="12.75" customHeight="1" x14ac:dyDescent="0.25">
      <c r="A606" s="24"/>
      <c r="E606" s="6"/>
      <c r="F606" s="7"/>
      <c r="AM606" s="8"/>
    </row>
    <row r="607" spans="1:39" ht="12.75" customHeight="1" x14ac:dyDescent="0.25">
      <c r="A607" s="24"/>
      <c r="E607" s="6"/>
      <c r="F607" s="7"/>
      <c r="AM607" s="8"/>
    </row>
    <row r="608" spans="1:39" ht="12.75" customHeight="1" x14ac:dyDescent="0.25">
      <c r="A608" s="24"/>
      <c r="E608" s="6"/>
      <c r="F608" s="7"/>
      <c r="AM608" s="8"/>
    </row>
    <row r="609" spans="1:39" ht="12.75" customHeight="1" x14ac:dyDescent="0.25">
      <c r="A609" s="24"/>
      <c r="E609" s="6"/>
      <c r="F609" s="7"/>
      <c r="AM609" s="8"/>
    </row>
    <row r="610" spans="1:39" ht="12.75" customHeight="1" x14ac:dyDescent="0.25">
      <c r="A610" s="24"/>
      <c r="E610" s="6"/>
      <c r="F610" s="7"/>
      <c r="AM610" s="8"/>
    </row>
    <row r="611" spans="1:39" ht="12.75" customHeight="1" x14ac:dyDescent="0.25">
      <c r="A611" s="24"/>
      <c r="E611" s="6"/>
      <c r="F611" s="7"/>
      <c r="AM611" s="8"/>
    </row>
    <row r="612" spans="1:39" ht="12.75" customHeight="1" x14ac:dyDescent="0.25">
      <c r="A612" s="24"/>
      <c r="E612" s="6"/>
      <c r="F612" s="7"/>
      <c r="AM612" s="8"/>
    </row>
    <row r="613" spans="1:39" ht="12.75" customHeight="1" x14ac:dyDescent="0.25">
      <c r="A613" s="24"/>
      <c r="E613" s="6"/>
      <c r="F613" s="7"/>
      <c r="AM613" s="8"/>
    </row>
    <row r="614" spans="1:39" ht="12.75" customHeight="1" x14ac:dyDescent="0.25">
      <c r="A614" s="24"/>
      <c r="E614" s="6"/>
      <c r="F614" s="7"/>
      <c r="AM614" s="8"/>
    </row>
    <row r="615" spans="1:39" ht="12.75" customHeight="1" x14ac:dyDescent="0.25">
      <c r="A615" s="24"/>
      <c r="E615" s="6"/>
      <c r="F615" s="7"/>
      <c r="AM615" s="8"/>
    </row>
    <row r="616" spans="1:39" ht="12.75" customHeight="1" x14ac:dyDescent="0.25">
      <c r="A616" s="24"/>
      <c r="E616" s="6"/>
      <c r="F616" s="7"/>
      <c r="AM616" s="8"/>
    </row>
    <row r="617" spans="1:39" ht="12.75" customHeight="1" x14ac:dyDescent="0.25">
      <c r="A617" s="24"/>
      <c r="E617" s="6"/>
      <c r="F617" s="7"/>
      <c r="AM617" s="8"/>
    </row>
    <row r="618" spans="1:39" ht="12.75" customHeight="1" x14ac:dyDescent="0.25">
      <c r="A618" s="24"/>
      <c r="E618" s="6"/>
      <c r="F618" s="7"/>
      <c r="AM618" s="8"/>
    </row>
    <row r="619" spans="1:39" ht="12.75" customHeight="1" x14ac:dyDescent="0.25">
      <c r="A619" s="24"/>
      <c r="E619" s="6"/>
      <c r="F619" s="7"/>
      <c r="AM619" s="8"/>
    </row>
    <row r="620" spans="1:39" ht="12.75" customHeight="1" x14ac:dyDescent="0.25">
      <c r="A620" s="24"/>
      <c r="E620" s="6"/>
      <c r="F620" s="7"/>
      <c r="AM620" s="8"/>
    </row>
    <row r="621" spans="1:39" ht="12.75" customHeight="1" x14ac:dyDescent="0.25">
      <c r="A621" s="24"/>
      <c r="E621" s="6"/>
      <c r="F621" s="7"/>
      <c r="AM621" s="8"/>
    </row>
    <row r="622" spans="1:39" ht="12.75" customHeight="1" x14ac:dyDescent="0.25">
      <c r="A622" s="24"/>
      <c r="E622" s="6"/>
      <c r="F622" s="7"/>
      <c r="AM622" s="8"/>
    </row>
    <row r="623" spans="1:39" ht="12.75" customHeight="1" x14ac:dyDescent="0.25">
      <c r="A623" s="24"/>
      <c r="E623" s="6"/>
      <c r="F623" s="7"/>
      <c r="AM623" s="8"/>
    </row>
    <row r="624" spans="1:39" ht="12.75" customHeight="1" x14ac:dyDescent="0.25">
      <c r="A624" s="24"/>
      <c r="E624" s="6"/>
      <c r="F624" s="7"/>
      <c r="AM624" s="8"/>
    </row>
    <row r="625" spans="1:39" ht="12.75" customHeight="1" x14ac:dyDescent="0.25">
      <c r="A625" s="24"/>
      <c r="E625" s="6"/>
      <c r="F625" s="7"/>
      <c r="AM625" s="8"/>
    </row>
    <row r="626" spans="1:39" ht="12.75" customHeight="1" x14ac:dyDescent="0.25">
      <c r="A626" s="24"/>
      <c r="E626" s="6"/>
      <c r="F626" s="7"/>
      <c r="AM626" s="8"/>
    </row>
    <row r="627" spans="1:39" ht="12.75" customHeight="1" x14ac:dyDescent="0.25">
      <c r="A627" s="24"/>
      <c r="E627" s="6"/>
      <c r="F627" s="7"/>
      <c r="AM627" s="8"/>
    </row>
    <row r="628" spans="1:39" ht="12.75" customHeight="1" x14ac:dyDescent="0.25">
      <c r="A628" s="24"/>
      <c r="E628" s="6"/>
      <c r="F628" s="7"/>
      <c r="AM628" s="8"/>
    </row>
    <row r="629" spans="1:39" ht="12.75" customHeight="1" x14ac:dyDescent="0.25">
      <c r="A629" s="24"/>
      <c r="E629" s="6"/>
      <c r="F629" s="7"/>
      <c r="AM629" s="8"/>
    </row>
    <row r="630" spans="1:39" ht="12.75" customHeight="1" x14ac:dyDescent="0.25">
      <c r="A630" s="24"/>
      <c r="E630" s="6"/>
      <c r="F630" s="7"/>
      <c r="AM630" s="8"/>
    </row>
    <row r="631" spans="1:39" ht="12.75" customHeight="1" x14ac:dyDescent="0.25">
      <c r="A631" s="24"/>
      <c r="E631" s="6"/>
      <c r="F631" s="7"/>
      <c r="AM631" s="8"/>
    </row>
    <row r="632" spans="1:39" ht="12.75" customHeight="1" x14ac:dyDescent="0.25">
      <c r="A632" s="24"/>
      <c r="E632" s="6"/>
      <c r="F632" s="7"/>
      <c r="AM632" s="8"/>
    </row>
    <row r="633" spans="1:39" ht="12.75" customHeight="1" x14ac:dyDescent="0.25">
      <c r="A633" s="24"/>
      <c r="E633" s="6"/>
      <c r="F633" s="7"/>
      <c r="AM633" s="8"/>
    </row>
    <row r="634" spans="1:39" ht="12.75" customHeight="1" x14ac:dyDescent="0.25">
      <c r="A634" s="24"/>
      <c r="E634" s="6"/>
      <c r="F634" s="7"/>
      <c r="AM634" s="8"/>
    </row>
    <row r="635" spans="1:39" ht="12.75" customHeight="1" x14ac:dyDescent="0.25">
      <c r="A635" s="24"/>
      <c r="E635" s="6"/>
      <c r="F635" s="7"/>
      <c r="AM635" s="8"/>
    </row>
    <row r="636" spans="1:39" ht="12.75" customHeight="1" x14ac:dyDescent="0.25">
      <c r="A636" s="24"/>
      <c r="E636" s="6"/>
      <c r="F636" s="7"/>
      <c r="AM636" s="8"/>
    </row>
    <row r="637" spans="1:39" ht="12.75" customHeight="1" x14ac:dyDescent="0.25">
      <c r="A637" s="24"/>
      <c r="E637" s="6"/>
      <c r="F637" s="7"/>
      <c r="AM637" s="8"/>
    </row>
    <row r="638" spans="1:39" ht="12.75" customHeight="1" x14ac:dyDescent="0.25">
      <c r="A638" s="24"/>
      <c r="E638" s="6"/>
      <c r="F638" s="7"/>
      <c r="AM638" s="8"/>
    </row>
    <row r="639" spans="1:39" ht="12.75" customHeight="1" x14ac:dyDescent="0.25">
      <c r="A639" s="24"/>
      <c r="E639" s="6"/>
      <c r="F639" s="7"/>
      <c r="AM639" s="8"/>
    </row>
    <row r="640" spans="1:39" ht="12.75" customHeight="1" x14ac:dyDescent="0.25">
      <c r="A640" s="24"/>
      <c r="E640" s="6"/>
      <c r="F640" s="7"/>
      <c r="AM640" s="8"/>
    </row>
    <row r="641" spans="1:39" ht="12.75" customHeight="1" x14ac:dyDescent="0.25">
      <c r="A641" s="24"/>
      <c r="E641" s="6"/>
      <c r="F641" s="7"/>
      <c r="AM641" s="8"/>
    </row>
    <row r="642" spans="1:39" ht="12.75" customHeight="1" x14ac:dyDescent="0.25">
      <c r="A642" s="24"/>
      <c r="E642" s="6"/>
      <c r="F642" s="7"/>
      <c r="AM642" s="8"/>
    </row>
    <row r="643" spans="1:39" ht="12.75" customHeight="1" x14ac:dyDescent="0.25">
      <c r="A643" s="24"/>
      <c r="E643" s="6"/>
      <c r="F643" s="7"/>
      <c r="AM643" s="8"/>
    </row>
    <row r="644" spans="1:39" ht="12.75" customHeight="1" x14ac:dyDescent="0.25">
      <c r="A644" s="24"/>
      <c r="E644" s="6"/>
      <c r="F644" s="7"/>
      <c r="AM644" s="8"/>
    </row>
    <row r="645" spans="1:39" ht="12.75" customHeight="1" x14ac:dyDescent="0.25">
      <c r="A645" s="24"/>
      <c r="E645" s="6"/>
      <c r="F645" s="7"/>
      <c r="AM645" s="8"/>
    </row>
    <row r="646" spans="1:39" ht="12.75" customHeight="1" x14ac:dyDescent="0.25">
      <c r="A646" s="24"/>
      <c r="E646" s="6"/>
      <c r="F646" s="7"/>
      <c r="AM646" s="8"/>
    </row>
    <row r="647" spans="1:39" ht="12.75" customHeight="1" x14ac:dyDescent="0.25">
      <c r="A647" s="24"/>
      <c r="E647" s="6"/>
      <c r="F647" s="7"/>
      <c r="AM647" s="8"/>
    </row>
    <row r="648" spans="1:39" ht="12.75" customHeight="1" x14ac:dyDescent="0.25">
      <c r="A648" s="24"/>
      <c r="E648" s="6"/>
      <c r="F648" s="7"/>
      <c r="AM648" s="8"/>
    </row>
    <row r="649" spans="1:39" ht="12.75" customHeight="1" x14ac:dyDescent="0.25">
      <c r="A649" s="24"/>
      <c r="E649" s="6"/>
      <c r="F649" s="7"/>
      <c r="AM649" s="8"/>
    </row>
    <row r="650" spans="1:39" ht="12.75" customHeight="1" x14ac:dyDescent="0.25">
      <c r="A650" s="24"/>
      <c r="E650" s="6"/>
      <c r="F650" s="7"/>
      <c r="AM650" s="8"/>
    </row>
    <row r="651" spans="1:39" ht="12.75" customHeight="1" x14ac:dyDescent="0.25">
      <c r="A651" s="24"/>
      <c r="E651" s="6"/>
      <c r="F651" s="7"/>
      <c r="AM651" s="8"/>
    </row>
    <row r="652" spans="1:39" ht="12.75" customHeight="1" x14ac:dyDescent="0.25">
      <c r="A652" s="24"/>
      <c r="E652" s="6"/>
      <c r="F652" s="7"/>
      <c r="AM652" s="8"/>
    </row>
    <row r="653" spans="1:39" ht="12.75" customHeight="1" x14ac:dyDescent="0.25">
      <c r="A653" s="24"/>
      <c r="E653" s="6"/>
      <c r="F653" s="7"/>
      <c r="AM653" s="8"/>
    </row>
    <row r="654" spans="1:39" ht="12.75" customHeight="1" x14ac:dyDescent="0.25">
      <c r="A654" s="24"/>
      <c r="E654" s="6"/>
      <c r="F654" s="7"/>
      <c r="AM654" s="8"/>
    </row>
    <row r="655" spans="1:39" ht="12.75" customHeight="1" x14ac:dyDescent="0.25">
      <c r="A655" s="24"/>
      <c r="E655" s="6"/>
      <c r="F655" s="7"/>
      <c r="AM655" s="8"/>
    </row>
    <row r="656" spans="1:39" ht="12.75" customHeight="1" x14ac:dyDescent="0.25">
      <c r="A656" s="24"/>
      <c r="E656" s="6"/>
      <c r="F656" s="7"/>
      <c r="AM656" s="8"/>
    </row>
    <row r="657" spans="1:39" ht="12.75" customHeight="1" x14ac:dyDescent="0.25">
      <c r="A657" s="24"/>
      <c r="E657" s="6"/>
      <c r="F657" s="7"/>
      <c r="AM657" s="8"/>
    </row>
    <row r="658" spans="1:39" ht="12.75" customHeight="1" x14ac:dyDescent="0.25">
      <c r="A658" s="24"/>
      <c r="E658" s="6"/>
      <c r="F658" s="7"/>
      <c r="AM658" s="8"/>
    </row>
    <row r="659" spans="1:39" ht="12.75" customHeight="1" x14ac:dyDescent="0.25">
      <c r="A659" s="24"/>
      <c r="E659" s="6"/>
      <c r="F659" s="7"/>
      <c r="AM659" s="8"/>
    </row>
    <row r="660" spans="1:39" ht="12.75" customHeight="1" x14ac:dyDescent="0.25">
      <c r="A660" s="24"/>
      <c r="E660" s="6"/>
      <c r="F660" s="7"/>
      <c r="AM660" s="8"/>
    </row>
    <row r="661" spans="1:39" ht="12.75" customHeight="1" x14ac:dyDescent="0.25">
      <c r="A661" s="24"/>
      <c r="E661" s="6"/>
      <c r="F661" s="7"/>
      <c r="AM661" s="8"/>
    </row>
    <row r="662" spans="1:39" ht="12.75" customHeight="1" x14ac:dyDescent="0.25">
      <c r="A662" s="24"/>
      <c r="E662" s="6"/>
      <c r="F662" s="7"/>
      <c r="AM662" s="8"/>
    </row>
    <row r="663" spans="1:39" ht="12.75" customHeight="1" x14ac:dyDescent="0.25">
      <c r="A663" s="24"/>
      <c r="E663" s="6"/>
      <c r="F663" s="7"/>
      <c r="AM663" s="8"/>
    </row>
    <row r="664" spans="1:39" ht="12.75" customHeight="1" x14ac:dyDescent="0.25">
      <c r="A664" s="24"/>
      <c r="E664" s="6"/>
      <c r="F664" s="7"/>
      <c r="AM664" s="8"/>
    </row>
    <row r="665" spans="1:39" ht="12.75" customHeight="1" x14ac:dyDescent="0.25">
      <c r="A665" s="24"/>
      <c r="E665" s="6"/>
      <c r="F665" s="7"/>
      <c r="AM665" s="8"/>
    </row>
    <row r="666" spans="1:39" ht="12.75" customHeight="1" x14ac:dyDescent="0.25">
      <c r="A666" s="24"/>
      <c r="E666" s="6"/>
      <c r="F666" s="7"/>
      <c r="AM666" s="8"/>
    </row>
    <row r="667" spans="1:39" ht="12.75" customHeight="1" x14ac:dyDescent="0.25">
      <c r="A667" s="24"/>
      <c r="E667" s="6"/>
      <c r="F667" s="7"/>
      <c r="AM667" s="8"/>
    </row>
    <row r="668" spans="1:39" ht="12.75" customHeight="1" x14ac:dyDescent="0.25">
      <c r="A668" s="24"/>
      <c r="E668" s="6"/>
      <c r="F668" s="7"/>
      <c r="AM668" s="8"/>
    </row>
    <row r="669" spans="1:39" ht="12.75" customHeight="1" x14ac:dyDescent="0.25">
      <c r="A669" s="24"/>
      <c r="E669" s="6"/>
      <c r="F669" s="7"/>
      <c r="AM669" s="8"/>
    </row>
    <row r="670" spans="1:39" ht="12.75" customHeight="1" x14ac:dyDescent="0.25">
      <c r="A670" s="24"/>
      <c r="E670" s="6"/>
      <c r="F670" s="7"/>
      <c r="AM670" s="8"/>
    </row>
    <row r="671" spans="1:39" ht="12.75" customHeight="1" x14ac:dyDescent="0.25">
      <c r="A671" s="24"/>
      <c r="E671" s="6"/>
      <c r="F671" s="7"/>
      <c r="AM671" s="8"/>
    </row>
    <row r="672" spans="1:39" ht="12.75" customHeight="1" x14ac:dyDescent="0.25">
      <c r="A672" s="24"/>
      <c r="E672" s="6"/>
      <c r="F672" s="7"/>
      <c r="AM672" s="8"/>
    </row>
    <row r="673" spans="1:39" ht="12.75" customHeight="1" x14ac:dyDescent="0.25">
      <c r="A673" s="24"/>
      <c r="E673" s="6"/>
      <c r="F673" s="7"/>
      <c r="AM673" s="8"/>
    </row>
    <row r="674" spans="1:39" ht="12.75" customHeight="1" x14ac:dyDescent="0.25">
      <c r="A674" s="24"/>
      <c r="E674" s="6"/>
      <c r="F674" s="7"/>
      <c r="AM674" s="8"/>
    </row>
    <row r="675" spans="1:39" ht="12.75" customHeight="1" x14ac:dyDescent="0.25">
      <c r="A675" s="24"/>
      <c r="E675" s="6"/>
      <c r="F675" s="7"/>
      <c r="AM675" s="8"/>
    </row>
    <row r="676" spans="1:39" ht="12.75" customHeight="1" x14ac:dyDescent="0.25">
      <c r="A676" s="24"/>
      <c r="E676" s="6"/>
      <c r="F676" s="7"/>
      <c r="AM676" s="8"/>
    </row>
    <row r="677" spans="1:39" ht="12.75" customHeight="1" x14ac:dyDescent="0.25">
      <c r="A677" s="24"/>
      <c r="E677" s="6"/>
      <c r="F677" s="7"/>
      <c r="AM677" s="8"/>
    </row>
    <row r="678" spans="1:39" ht="12.75" customHeight="1" x14ac:dyDescent="0.25">
      <c r="A678" s="24"/>
      <c r="E678" s="6"/>
      <c r="F678" s="7"/>
      <c r="AM678" s="8"/>
    </row>
    <row r="679" spans="1:39" ht="12.75" customHeight="1" x14ac:dyDescent="0.25">
      <c r="A679" s="24"/>
      <c r="E679" s="6"/>
      <c r="F679" s="7"/>
      <c r="AM679" s="8"/>
    </row>
    <row r="680" spans="1:39" ht="12.75" customHeight="1" x14ac:dyDescent="0.25">
      <c r="A680" s="24"/>
      <c r="E680" s="6"/>
      <c r="F680" s="7"/>
      <c r="AM680" s="8"/>
    </row>
    <row r="681" spans="1:39" ht="12.75" customHeight="1" x14ac:dyDescent="0.25">
      <c r="A681" s="24"/>
      <c r="E681" s="6"/>
      <c r="F681" s="7"/>
      <c r="AM681" s="8"/>
    </row>
    <row r="682" spans="1:39" ht="12.75" customHeight="1" x14ac:dyDescent="0.25">
      <c r="A682" s="24"/>
      <c r="E682" s="6"/>
      <c r="F682" s="7"/>
      <c r="AM682" s="8"/>
    </row>
    <row r="683" spans="1:39" ht="12.75" customHeight="1" x14ac:dyDescent="0.25">
      <c r="A683" s="24"/>
      <c r="E683" s="6"/>
      <c r="F683" s="7"/>
      <c r="AM683" s="8"/>
    </row>
    <row r="684" spans="1:39" ht="12.75" customHeight="1" x14ac:dyDescent="0.25">
      <c r="A684" s="24"/>
      <c r="E684" s="6"/>
      <c r="F684" s="7"/>
      <c r="AM684" s="8"/>
    </row>
    <row r="685" spans="1:39" ht="12.75" customHeight="1" x14ac:dyDescent="0.25">
      <c r="A685" s="24"/>
      <c r="E685" s="6"/>
      <c r="F685" s="7"/>
      <c r="AM685" s="8"/>
    </row>
    <row r="686" spans="1:39" ht="12.75" customHeight="1" x14ac:dyDescent="0.25">
      <c r="A686" s="24"/>
      <c r="E686" s="6"/>
      <c r="F686" s="7"/>
      <c r="AM686" s="8"/>
    </row>
    <row r="687" spans="1:39" ht="12.75" customHeight="1" x14ac:dyDescent="0.25">
      <c r="A687" s="24"/>
      <c r="E687" s="6"/>
      <c r="F687" s="7"/>
      <c r="AM687" s="8"/>
    </row>
    <row r="688" spans="1:39" ht="12.75" customHeight="1" x14ac:dyDescent="0.25">
      <c r="A688" s="24"/>
      <c r="E688" s="6"/>
      <c r="F688" s="7"/>
      <c r="AM688" s="8"/>
    </row>
    <row r="689" spans="1:39" ht="12.75" customHeight="1" x14ac:dyDescent="0.25">
      <c r="A689" s="24"/>
      <c r="E689" s="6"/>
      <c r="F689" s="7"/>
      <c r="AM689" s="8"/>
    </row>
    <row r="690" spans="1:39" ht="12.75" customHeight="1" x14ac:dyDescent="0.25">
      <c r="A690" s="24"/>
      <c r="E690" s="6"/>
      <c r="F690" s="7"/>
      <c r="AM690" s="8"/>
    </row>
    <row r="691" spans="1:39" ht="12.75" customHeight="1" x14ac:dyDescent="0.25">
      <c r="A691" s="24"/>
      <c r="E691" s="6"/>
      <c r="F691" s="7"/>
      <c r="AM691" s="8"/>
    </row>
    <row r="692" spans="1:39" ht="12.75" customHeight="1" x14ac:dyDescent="0.25">
      <c r="A692" s="24"/>
      <c r="E692" s="6"/>
      <c r="F692" s="7"/>
      <c r="AM692" s="8"/>
    </row>
    <row r="693" spans="1:39" ht="12.75" customHeight="1" x14ac:dyDescent="0.25">
      <c r="A693" s="24"/>
      <c r="E693" s="6"/>
      <c r="F693" s="7"/>
      <c r="AM693" s="8"/>
    </row>
    <row r="694" spans="1:39" ht="12.75" customHeight="1" x14ac:dyDescent="0.25">
      <c r="A694" s="24"/>
      <c r="E694" s="6"/>
      <c r="F694" s="7"/>
      <c r="AM694" s="8"/>
    </row>
    <row r="695" spans="1:39" ht="12.75" customHeight="1" x14ac:dyDescent="0.25">
      <c r="A695" s="24"/>
      <c r="E695" s="6"/>
      <c r="F695" s="7"/>
      <c r="AM695" s="8"/>
    </row>
    <row r="696" spans="1:39" ht="12.75" customHeight="1" x14ac:dyDescent="0.25">
      <c r="A696" s="24"/>
      <c r="E696" s="6"/>
      <c r="F696" s="7"/>
      <c r="AM696" s="8"/>
    </row>
    <row r="697" spans="1:39" ht="12.75" customHeight="1" x14ac:dyDescent="0.25">
      <c r="A697" s="24"/>
      <c r="E697" s="6"/>
      <c r="F697" s="7"/>
      <c r="AM697" s="8"/>
    </row>
    <row r="698" spans="1:39" ht="12.75" customHeight="1" x14ac:dyDescent="0.25">
      <c r="A698" s="24"/>
      <c r="E698" s="6"/>
      <c r="F698" s="7"/>
      <c r="AM698" s="8"/>
    </row>
    <row r="699" spans="1:39" ht="12.75" customHeight="1" x14ac:dyDescent="0.25">
      <c r="A699" s="24"/>
      <c r="E699" s="6"/>
      <c r="F699" s="7"/>
      <c r="AM699" s="8"/>
    </row>
    <row r="700" spans="1:39" ht="12.75" customHeight="1" x14ac:dyDescent="0.25">
      <c r="A700" s="24"/>
      <c r="E700" s="6"/>
      <c r="F700" s="7"/>
      <c r="AM700" s="8"/>
    </row>
    <row r="701" spans="1:39" ht="12.75" customHeight="1" x14ac:dyDescent="0.25">
      <c r="A701" s="24"/>
      <c r="E701" s="6"/>
      <c r="F701" s="7"/>
      <c r="AM701" s="8"/>
    </row>
    <row r="702" spans="1:39" ht="12.75" customHeight="1" x14ac:dyDescent="0.25">
      <c r="A702" s="24"/>
      <c r="E702" s="6"/>
      <c r="F702" s="7"/>
      <c r="AM702" s="8"/>
    </row>
    <row r="703" spans="1:39" ht="12.75" customHeight="1" x14ac:dyDescent="0.25">
      <c r="A703" s="24"/>
      <c r="E703" s="6"/>
      <c r="F703" s="7"/>
      <c r="AM703" s="8"/>
    </row>
    <row r="704" spans="1:39" ht="12.75" customHeight="1" x14ac:dyDescent="0.25">
      <c r="A704" s="24"/>
      <c r="E704" s="6"/>
      <c r="F704" s="7"/>
      <c r="AM704" s="8"/>
    </row>
    <row r="705" spans="1:39" ht="12.75" customHeight="1" x14ac:dyDescent="0.25">
      <c r="A705" s="24"/>
      <c r="E705" s="6"/>
      <c r="F705" s="7"/>
      <c r="AM705" s="8"/>
    </row>
    <row r="706" spans="1:39" ht="12.75" customHeight="1" x14ac:dyDescent="0.25">
      <c r="A706" s="24"/>
      <c r="E706" s="6"/>
      <c r="F706" s="7"/>
      <c r="AM706" s="8"/>
    </row>
    <row r="707" spans="1:39" ht="12.75" customHeight="1" x14ac:dyDescent="0.25">
      <c r="A707" s="24"/>
      <c r="E707" s="6"/>
      <c r="F707" s="7"/>
      <c r="AM707" s="8"/>
    </row>
    <row r="708" spans="1:39" ht="12.75" customHeight="1" x14ac:dyDescent="0.25">
      <c r="A708" s="24"/>
      <c r="E708" s="6"/>
      <c r="F708" s="7"/>
      <c r="AM708" s="8"/>
    </row>
    <row r="709" spans="1:39" ht="12.75" customHeight="1" x14ac:dyDescent="0.25">
      <c r="A709" s="24"/>
      <c r="E709" s="6"/>
      <c r="F709" s="7"/>
      <c r="AM709" s="8"/>
    </row>
    <row r="710" spans="1:39" ht="12.75" customHeight="1" x14ac:dyDescent="0.25">
      <c r="A710" s="24"/>
      <c r="E710" s="6"/>
      <c r="F710" s="7"/>
      <c r="AM710" s="8"/>
    </row>
    <row r="711" spans="1:39" ht="12.75" customHeight="1" x14ac:dyDescent="0.25">
      <c r="A711" s="24"/>
      <c r="E711" s="6"/>
      <c r="F711" s="7"/>
      <c r="AM711" s="8"/>
    </row>
    <row r="712" spans="1:39" ht="12.75" customHeight="1" x14ac:dyDescent="0.25">
      <c r="A712" s="24"/>
      <c r="E712" s="6"/>
      <c r="F712" s="7"/>
      <c r="AM712" s="8"/>
    </row>
    <row r="713" spans="1:39" ht="12.75" customHeight="1" x14ac:dyDescent="0.25">
      <c r="A713" s="24"/>
      <c r="E713" s="6"/>
      <c r="F713" s="7"/>
      <c r="AM713" s="8"/>
    </row>
    <row r="714" spans="1:39" ht="12.75" customHeight="1" x14ac:dyDescent="0.25">
      <c r="A714" s="24"/>
      <c r="E714" s="6"/>
      <c r="F714" s="7"/>
      <c r="AM714" s="8"/>
    </row>
    <row r="715" spans="1:39" ht="12.75" customHeight="1" x14ac:dyDescent="0.25">
      <c r="A715" s="24"/>
      <c r="E715" s="6"/>
      <c r="F715" s="7"/>
      <c r="AM715" s="8"/>
    </row>
    <row r="716" spans="1:39" ht="12.75" customHeight="1" x14ac:dyDescent="0.25">
      <c r="A716" s="24"/>
      <c r="E716" s="6"/>
      <c r="F716" s="7"/>
      <c r="AM716" s="8"/>
    </row>
    <row r="717" spans="1:39" ht="12.75" customHeight="1" x14ac:dyDescent="0.25">
      <c r="A717" s="24"/>
      <c r="E717" s="6"/>
      <c r="F717" s="7"/>
      <c r="AM717" s="8"/>
    </row>
    <row r="718" spans="1:39" ht="12.75" customHeight="1" x14ac:dyDescent="0.25">
      <c r="A718" s="24"/>
      <c r="E718" s="6"/>
      <c r="F718" s="7"/>
      <c r="AM718" s="8"/>
    </row>
    <row r="719" spans="1:39" ht="12.75" customHeight="1" x14ac:dyDescent="0.25">
      <c r="A719" s="24"/>
      <c r="E719" s="6"/>
      <c r="F719" s="7"/>
      <c r="AM719" s="8"/>
    </row>
    <row r="720" spans="1:39" ht="12.75" customHeight="1" x14ac:dyDescent="0.25">
      <c r="A720" s="24"/>
      <c r="E720" s="6"/>
      <c r="F720" s="7"/>
      <c r="AM720" s="8"/>
    </row>
    <row r="721" spans="1:39" ht="12.75" customHeight="1" x14ac:dyDescent="0.25">
      <c r="A721" s="24"/>
      <c r="E721" s="6"/>
      <c r="F721" s="7"/>
      <c r="AM721" s="8"/>
    </row>
    <row r="722" spans="1:39" ht="12.75" customHeight="1" x14ac:dyDescent="0.25">
      <c r="A722" s="24"/>
      <c r="E722" s="6"/>
      <c r="F722" s="7"/>
      <c r="AM722" s="8"/>
    </row>
    <row r="723" spans="1:39" ht="12.75" customHeight="1" x14ac:dyDescent="0.25">
      <c r="A723" s="24"/>
      <c r="E723" s="6"/>
      <c r="F723" s="7"/>
      <c r="AM723" s="8"/>
    </row>
    <row r="724" spans="1:39" ht="12.75" customHeight="1" x14ac:dyDescent="0.25">
      <c r="A724" s="24"/>
      <c r="E724" s="6"/>
      <c r="F724" s="7"/>
      <c r="AM724" s="8"/>
    </row>
    <row r="725" spans="1:39" ht="12.75" customHeight="1" x14ac:dyDescent="0.25">
      <c r="A725" s="24"/>
      <c r="E725" s="6"/>
      <c r="F725" s="7"/>
      <c r="AM725" s="8"/>
    </row>
    <row r="726" spans="1:39" ht="12.75" customHeight="1" x14ac:dyDescent="0.25">
      <c r="A726" s="24"/>
      <c r="E726" s="6"/>
      <c r="F726" s="7"/>
      <c r="AM726" s="8"/>
    </row>
    <row r="727" spans="1:39" ht="12.75" customHeight="1" x14ac:dyDescent="0.25">
      <c r="A727" s="24"/>
      <c r="E727" s="6"/>
      <c r="F727" s="7"/>
      <c r="AM727" s="8"/>
    </row>
    <row r="728" spans="1:39" ht="12.75" customHeight="1" x14ac:dyDescent="0.25">
      <c r="A728" s="24"/>
      <c r="E728" s="6"/>
      <c r="F728" s="7"/>
      <c r="AM728" s="8"/>
    </row>
    <row r="729" spans="1:39" ht="12.75" customHeight="1" x14ac:dyDescent="0.25">
      <c r="A729" s="24"/>
      <c r="E729" s="6"/>
      <c r="F729" s="7"/>
      <c r="AM729" s="8"/>
    </row>
    <row r="730" spans="1:39" ht="12.75" customHeight="1" x14ac:dyDescent="0.25">
      <c r="A730" s="24"/>
      <c r="E730" s="6"/>
      <c r="F730" s="7"/>
      <c r="AM730" s="8"/>
    </row>
    <row r="731" spans="1:39" ht="12.75" customHeight="1" x14ac:dyDescent="0.25">
      <c r="A731" s="24"/>
      <c r="E731" s="6"/>
      <c r="F731" s="7"/>
      <c r="AM731" s="8"/>
    </row>
    <row r="732" spans="1:39" ht="12.75" customHeight="1" x14ac:dyDescent="0.25">
      <c r="A732" s="24"/>
      <c r="E732" s="6"/>
      <c r="F732" s="7"/>
      <c r="AM732" s="8"/>
    </row>
    <row r="733" spans="1:39" ht="12.75" customHeight="1" x14ac:dyDescent="0.25">
      <c r="A733" s="24"/>
      <c r="E733" s="6"/>
      <c r="F733" s="7"/>
      <c r="AM733" s="8"/>
    </row>
    <row r="734" spans="1:39" ht="12.75" customHeight="1" x14ac:dyDescent="0.25">
      <c r="A734" s="24"/>
      <c r="E734" s="6"/>
      <c r="F734" s="7"/>
      <c r="AM734" s="8"/>
    </row>
    <row r="735" spans="1:39" ht="12.75" customHeight="1" x14ac:dyDescent="0.25">
      <c r="A735" s="24"/>
      <c r="E735" s="6"/>
      <c r="F735" s="7"/>
      <c r="AM735" s="8"/>
    </row>
    <row r="736" spans="1:39" ht="12.75" customHeight="1" x14ac:dyDescent="0.25">
      <c r="A736" s="24"/>
      <c r="E736" s="6"/>
      <c r="F736" s="7"/>
      <c r="AM736" s="8"/>
    </row>
    <row r="737" spans="1:39" ht="12.75" customHeight="1" x14ac:dyDescent="0.25">
      <c r="A737" s="24"/>
      <c r="E737" s="6"/>
      <c r="F737" s="7"/>
      <c r="AM737" s="8"/>
    </row>
    <row r="738" spans="1:39" ht="12.75" customHeight="1" x14ac:dyDescent="0.25">
      <c r="A738" s="24"/>
      <c r="E738" s="6"/>
      <c r="F738" s="7"/>
      <c r="AM738" s="8"/>
    </row>
    <row r="739" spans="1:39" ht="12.75" customHeight="1" x14ac:dyDescent="0.25">
      <c r="A739" s="24"/>
      <c r="E739" s="6"/>
      <c r="F739" s="7"/>
      <c r="AM739" s="8"/>
    </row>
    <row r="740" spans="1:39" ht="12.75" customHeight="1" x14ac:dyDescent="0.25">
      <c r="A740" s="24"/>
      <c r="E740" s="6"/>
      <c r="F740" s="7"/>
      <c r="AM740" s="8"/>
    </row>
    <row r="741" spans="1:39" ht="12.75" customHeight="1" x14ac:dyDescent="0.25">
      <c r="A741" s="24"/>
      <c r="E741" s="6"/>
      <c r="F741" s="7"/>
      <c r="AM741" s="8"/>
    </row>
    <row r="742" spans="1:39" ht="12.75" customHeight="1" x14ac:dyDescent="0.25">
      <c r="A742" s="24"/>
      <c r="E742" s="6"/>
      <c r="F742" s="7"/>
      <c r="AM742" s="8"/>
    </row>
    <row r="743" spans="1:39" ht="12.75" customHeight="1" x14ac:dyDescent="0.25">
      <c r="A743" s="24"/>
      <c r="E743" s="6"/>
      <c r="F743" s="7"/>
      <c r="AM743" s="8"/>
    </row>
    <row r="744" spans="1:39" ht="12.75" customHeight="1" x14ac:dyDescent="0.25">
      <c r="A744" s="24"/>
      <c r="E744" s="6"/>
      <c r="F744" s="7"/>
      <c r="AM744" s="8"/>
    </row>
    <row r="745" spans="1:39" ht="12.75" customHeight="1" x14ac:dyDescent="0.25">
      <c r="A745" s="24"/>
      <c r="E745" s="6"/>
      <c r="F745" s="7"/>
      <c r="AM745" s="8"/>
    </row>
    <row r="746" spans="1:39" ht="12.75" customHeight="1" x14ac:dyDescent="0.25">
      <c r="A746" s="24"/>
      <c r="E746" s="6"/>
      <c r="F746" s="7"/>
      <c r="AM746" s="8"/>
    </row>
    <row r="747" spans="1:39" ht="12.75" customHeight="1" x14ac:dyDescent="0.25">
      <c r="A747" s="24"/>
      <c r="E747" s="6"/>
      <c r="F747" s="7"/>
      <c r="AM747" s="8"/>
    </row>
    <row r="748" spans="1:39" ht="12.75" customHeight="1" x14ac:dyDescent="0.25">
      <c r="A748" s="24"/>
      <c r="E748" s="6"/>
      <c r="F748" s="7"/>
      <c r="AM748" s="8"/>
    </row>
    <row r="749" spans="1:39" ht="12.75" customHeight="1" x14ac:dyDescent="0.25">
      <c r="A749" s="24"/>
      <c r="E749" s="6"/>
      <c r="F749" s="7"/>
      <c r="AM749" s="8"/>
    </row>
    <row r="750" spans="1:39" ht="12.75" customHeight="1" x14ac:dyDescent="0.25">
      <c r="A750" s="24"/>
      <c r="E750" s="6"/>
      <c r="F750" s="7"/>
      <c r="AM750" s="8"/>
    </row>
    <row r="751" spans="1:39" ht="12.75" customHeight="1" x14ac:dyDescent="0.25">
      <c r="A751" s="24"/>
      <c r="E751" s="6"/>
      <c r="F751" s="7"/>
      <c r="AM751" s="8"/>
    </row>
    <row r="752" spans="1:39" ht="12.75" customHeight="1" x14ac:dyDescent="0.25">
      <c r="A752" s="24"/>
      <c r="E752" s="6"/>
      <c r="F752" s="7"/>
      <c r="AM752" s="8"/>
    </row>
    <row r="753" spans="1:39" ht="12.75" customHeight="1" x14ac:dyDescent="0.25">
      <c r="A753" s="24"/>
      <c r="E753" s="6"/>
      <c r="F753" s="7"/>
      <c r="AM753" s="8"/>
    </row>
    <row r="754" spans="1:39" ht="12.75" customHeight="1" x14ac:dyDescent="0.25">
      <c r="A754" s="24"/>
      <c r="E754" s="6"/>
      <c r="F754" s="7"/>
      <c r="AM754" s="8"/>
    </row>
    <row r="755" spans="1:39" ht="12.75" customHeight="1" x14ac:dyDescent="0.25">
      <c r="A755" s="24"/>
      <c r="E755" s="6"/>
      <c r="F755" s="7"/>
      <c r="AM755" s="8"/>
    </row>
    <row r="756" spans="1:39" ht="12.75" customHeight="1" x14ac:dyDescent="0.25">
      <c r="A756" s="24"/>
      <c r="E756" s="6"/>
      <c r="F756" s="7"/>
      <c r="AM756" s="8"/>
    </row>
    <row r="757" spans="1:39" ht="12.75" customHeight="1" x14ac:dyDescent="0.25">
      <c r="A757" s="24"/>
      <c r="E757" s="6"/>
      <c r="F757" s="7"/>
      <c r="AM757" s="8"/>
    </row>
    <row r="758" spans="1:39" ht="12.75" customHeight="1" x14ac:dyDescent="0.25">
      <c r="A758" s="24"/>
      <c r="E758" s="6"/>
      <c r="F758" s="7"/>
      <c r="AM758" s="8"/>
    </row>
    <row r="759" spans="1:39" ht="12.75" customHeight="1" x14ac:dyDescent="0.25">
      <c r="A759" s="24"/>
      <c r="E759" s="6"/>
      <c r="F759" s="7"/>
      <c r="AM759" s="8"/>
    </row>
    <row r="760" spans="1:39" ht="12.75" customHeight="1" x14ac:dyDescent="0.25">
      <c r="A760" s="24"/>
      <c r="E760" s="6"/>
      <c r="F760" s="7"/>
      <c r="AM760" s="8"/>
    </row>
    <row r="761" spans="1:39" ht="12.75" customHeight="1" x14ac:dyDescent="0.25">
      <c r="A761" s="24"/>
      <c r="E761" s="6"/>
      <c r="F761" s="7"/>
      <c r="AM761" s="8"/>
    </row>
    <row r="762" spans="1:39" ht="12.75" customHeight="1" x14ac:dyDescent="0.25">
      <c r="A762" s="24"/>
      <c r="E762" s="6"/>
      <c r="F762" s="7"/>
      <c r="AM762" s="8"/>
    </row>
    <row r="763" spans="1:39" ht="12.75" customHeight="1" x14ac:dyDescent="0.25">
      <c r="A763" s="24"/>
      <c r="E763" s="6"/>
      <c r="F763" s="7"/>
      <c r="AM763" s="8"/>
    </row>
    <row r="764" spans="1:39" ht="12.75" customHeight="1" x14ac:dyDescent="0.25">
      <c r="A764" s="24"/>
      <c r="E764" s="6"/>
      <c r="F764" s="7"/>
      <c r="AM764" s="8"/>
    </row>
    <row r="765" spans="1:39" ht="12.75" customHeight="1" x14ac:dyDescent="0.25">
      <c r="A765" s="24"/>
      <c r="E765" s="6"/>
      <c r="F765" s="7"/>
      <c r="AM765" s="8"/>
    </row>
    <row r="766" spans="1:39" ht="12.75" customHeight="1" x14ac:dyDescent="0.25">
      <c r="A766" s="24"/>
      <c r="E766" s="6"/>
      <c r="F766" s="7"/>
      <c r="AM766" s="8"/>
    </row>
    <row r="767" spans="1:39" ht="12.75" customHeight="1" x14ac:dyDescent="0.25">
      <c r="A767" s="24"/>
      <c r="E767" s="6"/>
      <c r="F767" s="7"/>
      <c r="AM767" s="8"/>
    </row>
    <row r="768" spans="1:39" ht="12.75" customHeight="1" x14ac:dyDescent="0.25">
      <c r="A768" s="24"/>
      <c r="E768" s="6"/>
      <c r="F768" s="7"/>
      <c r="AM768" s="8"/>
    </row>
    <row r="769" spans="1:39" ht="12.75" customHeight="1" x14ac:dyDescent="0.25">
      <c r="A769" s="24"/>
      <c r="E769" s="6"/>
      <c r="F769" s="7"/>
      <c r="AM769" s="8"/>
    </row>
    <row r="770" spans="1:39" ht="12.75" customHeight="1" x14ac:dyDescent="0.25">
      <c r="A770" s="24"/>
      <c r="E770" s="6"/>
      <c r="F770" s="7"/>
      <c r="AM770" s="8"/>
    </row>
    <row r="771" spans="1:39" ht="12.75" customHeight="1" x14ac:dyDescent="0.25">
      <c r="A771" s="24"/>
      <c r="E771" s="6"/>
      <c r="F771" s="7"/>
      <c r="AM771" s="8"/>
    </row>
    <row r="772" spans="1:39" ht="12.75" customHeight="1" x14ac:dyDescent="0.25">
      <c r="A772" s="24"/>
      <c r="E772" s="6"/>
      <c r="F772" s="7"/>
      <c r="AM772" s="8"/>
    </row>
    <row r="773" spans="1:39" ht="12.75" customHeight="1" x14ac:dyDescent="0.25">
      <c r="A773" s="24"/>
      <c r="E773" s="6"/>
      <c r="F773" s="7"/>
      <c r="AM773" s="8"/>
    </row>
    <row r="774" spans="1:39" ht="12.75" customHeight="1" x14ac:dyDescent="0.25">
      <c r="A774" s="24"/>
      <c r="E774" s="6"/>
      <c r="F774" s="7"/>
      <c r="AM774" s="8"/>
    </row>
    <row r="775" spans="1:39" ht="12.75" customHeight="1" x14ac:dyDescent="0.25">
      <c r="A775" s="24"/>
      <c r="E775" s="6"/>
      <c r="F775" s="7"/>
      <c r="AM775" s="8"/>
    </row>
    <row r="776" spans="1:39" ht="12.75" customHeight="1" x14ac:dyDescent="0.25">
      <c r="A776" s="24"/>
      <c r="E776" s="6"/>
      <c r="F776" s="7"/>
      <c r="AM776" s="8"/>
    </row>
    <row r="777" spans="1:39" ht="12.75" customHeight="1" x14ac:dyDescent="0.25">
      <c r="A777" s="24"/>
      <c r="E777" s="6"/>
      <c r="F777" s="7"/>
      <c r="AM777" s="8"/>
    </row>
    <row r="778" spans="1:39" ht="12.75" customHeight="1" x14ac:dyDescent="0.25">
      <c r="A778" s="24"/>
      <c r="E778" s="6"/>
      <c r="F778" s="7"/>
      <c r="AM778" s="8"/>
    </row>
    <row r="779" spans="1:39" ht="12.75" customHeight="1" x14ac:dyDescent="0.25">
      <c r="A779" s="24"/>
      <c r="E779" s="6"/>
      <c r="F779" s="7"/>
      <c r="AM779" s="8"/>
    </row>
    <row r="780" spans="1:39" ht="12.75" customHeight="1" x14ac:dyDescent="0.25">
      <c r="A780" s="24"/>
      <c r="E780" s="6"/>
      <c r="F780" s="7"/>
      <c r="AM780" s="8"/>
    </row>
    <row r="781" spans="1:39" ht="12.75" customHeight="1" x14ac:dyDescent="0.25">
      <c r="A781" s="24"/>
      <c r="E781" s="6"/>
      <c r="F781" s="7"/>
      <c r="AM781" s="8"/>
    </row>
    <row r="782" spans="1:39" ht="12.75" customHeight="1" x14ac:dyDescent="0.25">
      <c r="A782" s="24"/>
      <c r="E782" s="6"/>
      <c r="F782" s="7"/>
      <c r="AM782" s="8"/>
    </row>
    <row r="783" spans="1:39" ht="12.75" customHeight="1" x14ac:dyDescent="0.25">
      <c r="A783" s="24"/>
      <c r="E783" s="6"/>
      <c r="F783" s="7"/>
      <c r="AM783" s="8"/>
    </row>
    <row r="784" spans="1:39" ht="12.75" customHeight="1" x14ac:dyDescent="0.25">
      <c r="A784" s="24"/>
      <c r="E784" s="6"/>
      <c r="F784" s="7"/>
      <c r="AM784" s="8"/>
    </row>
    <row r="785" spans="1:39" ht="12.75" customHeight="1" x14ac:dyDescent="0.25">
      <c r="A785" s="24"/>
      <c r="E785" s="6"/>
      <c r="F785" s="7"/>
      <c r="AM785" s="8"/>
    </row>
    <row r="786" spans="1:39" ht="12.75" customHeight="1" x14ac:dyDescent="0.25">
      <c r="A786" s="24"/>
      <c r="E786" s="6"/>
      <c r="F786" s="7"/>
      <c r="AM786" s="8"/>
    </row>
    <row r="787" spans="1:39" ht="12.75" customHeight="1" x14ac:dyDescent="0.25">
      <c r="A787" s="24"/>
      <c r="E787" s="6"/>
      <c r="F787" s="7"/>
      <c r="AM787" s="8"/>
    </row>
    <row r="788" spans="1:39" ht="12.75" customHeight="1" x14ac:dyDescent="0.25">
      <c r="A788" s="24"/>
      <c r="E788" s="6"/>
      <c r="F788" s="7"/>
      <c r="AM788" s="8"/>
    </row>
    <row r="789" spans="1:39" ht="12.75" customHeight="1" x14ac:dyDescent="0.25">
      <c r="A789" s="24"/>
      <c r="E789" s="6"/>
      <c r="F789" s="7"/>
      <c r="AM789" s="8"/>
    </row>
    <row r="790" spans="1:39" ht="12.75" customHeight="1" x14ac:dyDescent="0.25">
      <c r="A790" s="24"/>
      <c r="E790" s="6"/>
      <c r="F790" s="7"/>
      <c r="AM790" s="8"/>
    </row>
    <row r="791" spans="1:39" ht="12.75" customHeight="1" x14ac:dyDescent="0.25">
      <c r="A791" s="24"/>
      <c r="E791" s="6"/>
      <c r="F791" s="7"/>
      <c r="AM791" s="8"/>
    </row>
    <row r="792" spans="1:39" ht="12.75" customHeight="1" x14ac:dyDescent="0.25">
      <c r="A792" s="24"/>
      <c r="E792" s="6"/>
      <c r="F792" s="7"/>
      <c r="AM792" s="8"/>
    </row>
    <row r="793" spans="1:39" ht="12.75" customHeight="1" x14ac:dyDescent="0.25">
      <c r="A793" s="24"/>
      <c r="E793" s="6"/>
      <c r="F793" s="7"/>
      <c r="AM793" s="8"/>
    </row>
    <row r="794" spans="1:39" ht="12.75" customHeight="1" x14ac:dyDescent="0.25">
      <c r="A794" s="24"/>
      <c r="E794" s="6"/>
      <c r="F794" s="7"/>
      <c r="AM794" s="8"/>
    </row>
    <row r="795" spans="1:39" ht="12.75" customHeight="1" x14ac:dyDescent="0.25">
      <c r="A795" s="24"/>
      <c r="E795" s="6"/>
      <c r="F795" s="7"/>
      <c r="AM795" s="8"/>
    </row>
    <row r="796" spans="1:39" ht="12.75" customHeight="1" x14ac:dyDescent="0.25">
      <c r="A796" s="24"/>
      <c r="E796" s="6"/>
      <c r="F796" s="7"/>
      <c r="AM796" s="8"/>
    </row>
    <row r="797" spans="1:39" ht="12.75" customHeight="1" x14ac:dyDescent="0.25">
      <c r="A797" s="24"/>
      <c r="E797" s="6"/>
      <c r="F797" s="7"/>
      <c r="AM797" s="8"/>
    </row>
    <row r="798" spans="1:39" ht="12.75" customHeight="1" x14ac:dyDescent="0.25">
      <c r="A798" s="24"/>
      <c r="E798" s="6"/>
      <c r="F798" s="7"/>
      <c r="AM798" s="8"/>
    </row>
    <row r="799" spans="1:39" ht="12.75" customHeight="1" x14ac:dyDescent="0.25">
      <c r="A799" s="24"/>
      <c r="E799" s="6"/>
      <c r="F799" s="7"/>
      <c r="AM799" s="8"/>
    </row>
    <row r="800" spans="1:39" ht="12.75" customHeight="1" x14ac:dyDescent="0.25">
      <c r="A800" s="24"/>
      <c r="E800" s="6"/>
      <c r="F800" s="7"/>
      <c r="AM800" s="8"/>
    </row>
    <row r="801" spans="1:39" ht="12.75" customHeight="1" x14ac:dyDescent="0.25">
      <c r="A801" s="24"/>
      <c r="E801" s="6"/>
      <c r="F801" s="7"/>
      <c r="AM801" s="8"/>
    </row>
    <row r="802" spans="1:39" ht="12.75" customHeight="1" x14ac:dyDescent="0.25">
      <c r="A802" s="24"/>
      <c r="E802" s="6"/>
      <c r="F802" s="7"/>
      <c r="AM802" s="8"/>
    </row>
    <row r="803" spans="1:39" ht="12.75" customHeight="1" x14ac:dyDescent="0.25">
      <c r="A803" s="24"/>
      <c r="E803" s="6"/>
      <c r="F803" s="7"/>
      <c r="AM803" s="8"/>
    </row>
    <row r="804" spans="1:39" ht="12.75" customHeight="1" x14ac:dyDescent="0.25">
      <c r="A804" s="24"/>
      <c r="E804" s="6"/>
      <c r="F804" s="7"/>
      <c r="AM804" s="8"/>
    </row>
    <row r="805" spans="1:39" ht="12.75" customHeight="1" x14ac:dyDescent="0.25">
      <c r="A805" s="24"/>
      <c r="E805" s="6"/>
      <c r="F805" s="7"/>
      <c r="AM805" s="8"/>
    </row>
    <row r="806" spans="1:39" ht="12.75" customHeight="1" x14ac:dyDescent="0.25">
      <c r="A806" s="24"/>
      <c r="E806" s="6"/>
      <c r="F806" s="7"/>
      <c r="AM806" s="8"/>
    </row>
    <row r="807" spans="1:39" ht="12.75" customHeight="1" x14ac:dyDescent="0.25">
      <c r="A807" s="24"/>
      <c r="E807" s="6"/>
      <c r="F807" s="7"/>
      <c r="AM807" s="8"/>
    </row>
    <row r="808" spans="1:39" ht="12.75" customHeight="1" x14ac:dyDescent="0.25">
      <c r="A808" s="24"/>
      <c r="E808" s="6"/>
      <c r="F808" s="7"/>
      <c r="AM808" s="8"/>
    </row>
    <row r="809" spans="1:39" ht="12.75" customHeight="1" x14ac:dyDescent="0.25">
      <c r="A809" s="24"/>
      <c r="E809" s="6"/>
      <c r="F809" s="7"/>
      <c r="AM809" s="8"/>
    </row>
    <row r="810" spans="1:39" ht="12.75" customHeight="1" x14ac:dyDescent="0.25">
      <c r="A810" s="24"/>
      <c r="E810" s="6"/>
      <c r="F810" s="7"/>
      <c r="AM810" s="8"/>
    </row>
    <row r="811" spans="1:39" ht="12.75" customHeight="1" x14ac:dyDescent="0.25">
      <c r="A811" s="24"/>
      <c r="E811" s="6"/>
      <c r="F811" s="7"/>
      <c r="AM811" s="8"/>
    </row>
    <row r="812" spans="1:39" ht="12.75" customHeight="1" x14ac:dyDescent="0.25">
      <c r="A812" s="24"/>
      <c r="E812" s="6"/>
      <c r="F812" s="7"/>
      <c r="AM812" s="8"/>
    </row>
    <row r="813" spans="1:39" ht="12.75" customHeight="1" x14ac:dyDescent="0.25">
      <c r="A813" s="24"/>
      <c r="E813" s="6"/>
      <c r="F813" s="7"/>
      <c r="AM813" s="8"/>
    </row>
    <row r="814" spans="1:39" ht="12.75" customHeight="1" x14ac:dyDescent="0.25">
      <c r="A814" s="24"/>
      <c r="E814" s="6"/>
      <c r="F814" s="7"/>
      <c r="AM814" s="8"/>
    </row>
    <row r="815" spans="1:39" ht="12.75" customHeight="1" x14ac:dyDescent="0.25">
      <c r="A815" s="24"/>
      <c r="E815" s="6"/>
      <c r="F815" s="7"/>
      <c r="AM815" s="8"/>
    </row>
    <row r="816" spans="1:39" ht="12.75" customHeight="1" x14ac:dyDescent="0.25">
      <c r="A816" s="24"/>
      <c r="E816" s="6"/>
      <c r="F816" s="7"/>
      <c r="AM816" s="8"/>
    </row>
    <row r="817" spans="1:39" ht="12.75" customHeight="1" x14ac:dyDescent="0.25">
      <c r="A817" s="24"/>
      <c r="E817" s="6"/>
      <c r="F817" s="7"/>
      <c r="AM817" s="8"/>
    </row>
    <row r="818" spans="1:39" ht="12.75" customHeight="1" x14ac:dyDescent="0.25">
      <c r="A818" s="24"/>
      <c r="E818" s="6"/>
      <c r="F818" s="7"/>
      <c r="AM818" s="8"/>
    </row>
    <row r="819" spans="1:39" ht="12.75" customHeight="1" x14ac:dyDescent="0.25">
      <c r="A819" s="24"/>
      <c r="E819" s="6"/>
      <c r="F819" s="7"/>
      <c r="AM819" s="8"/>
    </row>
    <row r="820" spans="1:39" ht="12.75" customHeight="1" x14ac:dyDescent="0.25">
      <c r="A820" s="24"/>
      <c r="E820" s="6"/>
      <c r="F820" s="7"/>
      <c r="AM820" s="8"/>
    </row>
    <row r="821" spans="1:39" ht="12.75" customHeight="1" x14ac:dyDescent="0.25">
      <c r="A821" s="24"/>
      <c r="E821" s="6"/>
      <c r="F821" s="7"/>
      <c r="AM821" s="8"/>
    </row>
    <row r="822" spans="1:39" ht="12.75" customHeight="1" x14ac:dyDescent="0.25">
      <c r="A822" s="24"/>
      <c r="E822" s="6"/>
      <c r="F822" s="7"/>
      <c r="AM822" s="8"/>
    </row>
    <row r="823" spans="1:39" ht="12.75" customHeight="1" x14ac:dyDescent="0.25">
      <c r="A823" s="24"/>
      <c r="E823" s="6"/>
      <c r="F823" s="7"/>
      <c r="AM823" s="8"/>
    </row>
    <row r="824" spans="1:39" ht="12.75" customHeight="1" x14ac:dyDescent="0.25">
      <c r="A824" s="24"/>
      <c r="E824" s="6"/>
      <c r="F824" s="7"/>
      <c r="AM824" s="8"/>
    </row>
    <row r="825" spans="1:39" ht="12.75" customHeight="1" x14ac:dyDescent="0.25">
      <c r="A825" s="24"/>
      <c r="E825" s="6"/>
      <c r="F825" s="7"/>
      <c r="AM825" s="8"/>
    </row>
    <row r="826" spans="1:39" ht="12.75" customHeight="1" x14ac:dyDescent="0.25">
      <c r="A826" s="24"/>
      <c r="E826" s="6"/>
      <c r="F826" s="7"/>
      <c r="AM826" s="8"/>
    </row>
    <row r="827" spans="1:39" ht="12.75" customHeight="1" x14ac:dyDescent="0.25">
      <c r="A827" s="24"/>
      <c r="E827" s="6"/>
      <c r="F827" s="7"/>
      <c r="AM827" s="8"/>
    </row>
    <row r="828" spans="1:39" ht="12.75" customHeight="1" x14ac:dyDescent="0.25">
      <c r="A828" s="24"/>
      <c r="E828" s="6"/>
      <c r="F828" s="7"/>
      <c r="AM828" s="8"/>
    </row>
    <row r="829" spans="1:39" ht="12.75" customHeight="1" x14ac:dyDescent="0.25">
      <c r="A829" s="24"/>
      <c r="E829" s="6"/>
      <c r="F829" s="7"/>
      <c r="AM829" s="8"/>
    </row>
    <row r="830" spans="1:39" ht="12.75" customHeight="1" x14ac:dyDescent="0.25">
      <c r="A830" s="24"/>
      <c r="E830" s="6"/>
      <c r="F830" s="7"/>
      <c r="AM830" s="8"/>
    </row>
    <row r="831" spans="1:39" ht="12.75" customHeight="1" x14ac:dyDescent="0.25">
      <c r="A831" s="24"/>
      <c r="E831" s="6"/>
      <c r="F831" s="7"/>
      <c r="AM831" s="8"/>
    </row>
    <row r="832" spans="1:39" ht="12.75" customHeight="1" x14ac:dyDescent="0.25">
      <c r="A832" s="24"/>
      <c r="E832" s="6"/>
      <c r="F832" s="7"/>
      <c r="AM832" s="8"/>
    </row>
    <row r="833" spans="1:39" ht="12.75" customHeight="1" x14ac:dyDescent="0.25">
      <c r="A833" s="24"/>
      <c r="E833" s="6"/>
      <c r="F833" s="7"/>
      <c r="AM833" s="8"/>
    </row>
    <row r="834" spans="1:39" ht="12.75" customHeight="1" x14ac:dyDescent="0.25">
      <c r="A834" s="24"/>
      <c r="E834" s="6"/>
      <c r="F834" s="7"/>
      <c r="AM834" s="8"/>
    </row>
    <row r="835" spans="1:39" ht="12.75" customHeight="1" x14ac:dyDescent="0.25">
      <c r="A835" s="24"/>
      <c r="E835" s="6"/>
      <c r="F835" s="7"/>
      <c r="AM835" s="8"/>
    </row>
    <row r="836" spans="1:39" ht="12.75" customHeight="1" x14ac:dyDescent="0.25">
      <c r="A836" s="24"/>
      <c r="E836" s="6"/>
      <c r="F836" s="7"/>
      <c r="AM836" s="8"/>
    </row>
    <row r="837" spans="1:39" ht="12.75" customHeight="1" x14ac:dyDescent="0.25">
      <c r="A837" s="24"/>
      <c r="E837" s="6"/>
      <c r="F837" s="7"/>
      <c r="AM837" s="8"/>
    </row>
    <row r="838" spans="1:39" ht="12.75" customHeight="1" x14ac:dyDescent="0.25">
      <c r="A838" s="24"/>
      <c r="E838" s="6"/>
      <c r="F838" s="7"/>
      <c r="AM838" s="8"/>
    </row>
    <row r="839" spans="1:39" ht="12.75" customHeight="1" x14ac:dyDescent="0.25">
      <c r="A839" s="24"/>
      <c r="E839" s="6"/>
      <c r="F839" s="7"/>
      <c r="AM839" s="8"/>
    </row>
    <row r="840" spans="1:39" ht="12.75" customHeight="1" x14ac:dyDescent="0.25">
      <c r="A840" s="24"/>
      <c r="E840" s="6"/>
      <c r="F840" s="7"/>
      <c r="AM840" s="8"/>
    </row>
    <row r="841" spans="1:39" ht="12.75" customHeight="1" x14ac:dyDescent="0.25">
      <c r="A841" s="24"/>
      <c r="E841" s="6"/>
      <c r="F841" s="7"/>
      <c r="AM841" s="8"/>
    </row>
    <row r="842" spans="1:39" ht="12.75" customHeight="1" x14ac:dyDescent="0.25">
      <c r="A842" s="24"/>
      <c r="E842" s="6"/>
      <c r="F842" s="7"/>
      <c r="AM842" s="8"/>
    </row>
    <row r="843" spans="1:39" ht="12.75" customHeight="1" x14ac:dyDescent="0.25">
      <c r="A843" s="24"/>
      <c r="E843" s="6"/>
      <c r="F843" s="7"/>
      <c r="AM843" s="8"/>
    </row>
    <row r="844" spans="1:39" ht="12.75" customHeight="1" x14ac:dyDescent="0.25">
      <c r="A844" s="24"/>
      <c r="E844" s="6"/>
      <c r="F844" s="7"/>
      <c r="AM844" s="8"/>
    </row>
    <row r="845" spans="1:39" ht="12.75" customHeight="1" x14ac:dyDescent="0.25">
      <c r="A845" s="24"/>
      <c r="E845" s="6"/>
      <c r="F845" s="7"/>
      <c r="AM845" s="8"/>
    </row>
    <row r="846" spans="1:39" ht="12.75" customHeight="1" x14ac:dyDescent="0.25">
      <c r="A846" s="24"/>
      <c r="E846" s="6"/>
      <c r="F846" s="7"/>
      <c r="AM846" s="8"/>
    </row>
    <row r="847" spans="1:39" ht="12.75" customHeight="1" x14ac:dyDescent="0.25">
      <c r="A847" s="24"/>
      <c r="E847" s="6"/>
      <c r="F847" s="7"/>
      <c r="AM847" s="8"/>
    </row>
    <row r="848" spans="1:39" ht="12.75" customHeight="1" x14ac:dyDescent="0.25">
      <c r="A848" s="24"/>
      <c r="E848" s="6"/>
      <c r="F848" s="7"/>
      <c r="AM848" s="8"/>
    </row>
    <row r="849" spans="1:39" ht="12.75" customHeight="1" x14ac:dyDescent="0.25">
      <c r="A849" s="24"/>
      <c r="E849" s="6"/>
      <c r="F849" s="7"/>
      <c r="AM849" s="8"/>
    </row>
    <row r="850" spans="1:39" ht="12.75" customHeight="1" x14ac:dyDescent="0.25">
      <c r="A850" s="24"/>
      <c r="E850" s="6"/>
      <c r="F850" s="7"/>
      <c r="AM850" s="8"/>
    </row>
    <row r="851" spans="1:39" ht="12.75" customHeight="1" x14ac:dyDescent="0.25">
      <c r="A851" s="24"/>
      <c r="E851" s="6"/>
      <c r="F851" s="7"/>
      <c r="AM851" s="8"/>
    </row>
    <row r="852" spans="1:39" ht="12.75" customHeight="1" x14ac:dyDescent="0.25">
      <c r="A852" s="24"/>
      <c r="E852" s="6"/>
      <c r="F852" s="7"/>
      <c r="AM852" s="8"/>
    </row>
    <row r="853" spans="1:39" ht="12.75" customHeight="1" x14ac:dyDescent="0.25">
      <c r="A853" s="24"/>
      <c r="E853" s="6"/>
      <c r="F853" s="7"/>
      <c r="AM853" s="8"/>
    </row>
    <row r="854" spans="1:39" ht="12.75" customHeight="1" x14ac:dyDescent="0.25">
      <c r="A854" s="24"/>
      <c r="E854" s="6"/>
      <c r="F854" s="7"/>
      <c r="AM854" s="8"/>
    </row>
    <row r="855" spans="1:39" ht="12.75" customHeight="1" x14ac:dyDescent="0.25">
      <c r="A855" s="24"/>
      <c r="E855" s="6"/>
      <c r="F855" s="7"/>
      <c r="AM855" s="8"/>
    </row>
    <row r="856" spans="1:39" ht="12.75" customHeight="1" x14ac:dyDescent="0.25">
      <c r="A856" s="24"/>
      <c r="E856" s="6"/>
      <c r="F856" s="7"/>
      <c r="AM856" s="8"/>
    </row>
    <row r="857" spans="1:39" ht="12.75" customHeight="1" x14ac:dyDescent="0.25">
      <c r="A857" s="24"/>
      <c r="E857" s="6"/>
      <c r="F857" s="7"/>
      <c r="AM857" s="8"/>
    </row>
    <row r="858" spans="1:39" ht="12.75" customHeight="1" x14ac:dyDescent="0.25">
      <c r="A858" s="24"/>
      <c r="E858" s="6"/>
      <c r="F858" s="7"/>
      <c r="AM858" s="8"/>
    </row>
    <row r="859" spans="1:39" ht="12.75" customHeight="1" x14ac:dyDescent="0.25">
      <c r="A859" s="24"/>
      <c r="E859" s="6"/>
      <c r="F859" s="7"/>
      <c r="AM859" s="8"/>
    </row>
    <row r="860" spans="1:39" ht="12.75" customHeight="1" x14ac:dyDescent="0.25">
      <c r="A860" s="24"/>
      <c r="E860" s="6"/>
      <c r="F860" s="7"/>
      <c r="AM860" s="8"/>
    </row>
    <row r="861" spans="1:39" ht="12.75" customHeight="1" x14ac:dyDescent="0.25">
      <c r="A861" s="24"/>
      <c r="E861" s="6"/>
      <c r="F861" s="7"/>
      <c r="AM861" s="8"/>
    </row>
    <row r="862" spans="1:39" ht="12.75" customHeight="1" x14ac:dyDescent="0.25">
      <c r="A862" s="24"/>
      <c r="E862" s="6"/>
      <c r="F862" s="7"/>
      <c r="AM862" s="8"/>
    </row>
    <row r="863" spans="1:39" ht="12.75" customHeight="1" x14ac:dyDescent="0.25">
      <c r="A863" s="24"/>
      <c r="E863" s="6"/>
      <c r="F863" s="7"/>
      <c r="AM863" s="8"/>
    </row>
    <row r="864" spans="1:39" ht="12.75" customHeight="1" x14ac:dyDescent="0.25">
      <c r="A864" s="24"/>
      <c r="E864" s="6"/>
      <c r="F864" s="7"/>
      <c r="AM864" s="8"/>
    </row>
    <row r="865" spans="1:39" ht="12.75" customHeight="1" x14ac:dyDescent="0.25">
      <c r="A865" s="24"/>
      <c r="E865" s="6"/>
      <c r="F865" s="7"/>
      <c r="AM865" s="8"/>
    </row>
    <row r="866" spans="1:39" ht="12.75" customHeight="1" x14ac:dyDescent="0.25">
      <c r="A866" s="24"/>
      <c r="E866" s="6"/>
      <c r="F866" s="7"/>
      <c r="AM866" s="8"/>
    </row>
    <row r="867" spans="1:39" ht="12.75" customHeight="1" x14ac:dyDescent="0.25">
      <c r="A867" s="24"/>
      <c r="E867" s="6"/>
      <c r="F867" s="7"/>
      <c r="AM867" s="8"/>
    </row>
    <row r="868" spans="1:39" ht="12.75" customHeight="1" x14ac:dyDescent="0.25">
      <c r="A868" s="24"/>
      <c r="E868" s="6"/>
      <c r="F868" s="7"/>
      <c r="AM868" s="8"/>
    </row>
    <row r="869" spans="1:39" ht="12.75" customHeight="1" x14ac:dyDescent="0.25">
      <c r="A869" s="24"/>
      <c r="E869" s="6"/>
      <c r="F869" s="7"/>
      <c r="AM869" s="8"/>
    </row>
    <row r="870" spans="1:39" ht="12.75" customHeight="1" x14ac:dyDescent="0.25">
      <c r="A870" s="24"/>
      <c r="E870" s="6"/>
      <c r="F870" s="7"/>
      <c r="AM870" s="8"/>
    </row>
    <row r="871" spans="1:39" ht="12.75" customHeight="1" x14ac:dyDescent="0.25">
      <c r="A871" s="24"/>
      <c r="E871" s="6"/>
      <c r="F871" s="7"/>
      <c r="AM871" s="8"/>
    </row>
    <row r="872" spans="1:39" ht="12.75" customHeight="1" x14ac:dyDescent="0.25">
      <c r="A872" s="24"/>
      <c r="E872" s="6"/>
      <c r="F872" s="7"/>
      <c r="AM872" s="8"/>
    </row>
    <row r="873" spans="1:39" ht="12.75" customHeight="1" x14ac:dyDescent="0.25">
      <c r="A873" s="24"/>
      <c r="E873" s="6"/>
      <c r="F873" s="7"/>
      <c r="AM873" s="8"/>
    </row>
    <row r="874" spans="1:39" ht="12.75" customHeight="1" x14ac:dyDescent="0.25">
      <c r="A874" s="24"/>
      <c r="E874" s="6"/>
      <c r="F874" s="7"/>
      <c r="AM874" s="8"/>
    </row>
    <row r="875" spans="1:39" ht="12.75" customHeight="1" x14ac:dyDescent="0.25">
      <c r="A875" s="24"/>
      <c r="E875" s="6"/>
      <c r="F875" s="7"/>
      <c r="AM875" s="8"/>
    </row>
    <row r="876" spans="1:39" ht="12.75" customHeight="1" x14ac:dyDescent="0.25">
      <c r="A876" s="24"/>
      <c r="E876" s="6"/>
      <c r="F876" s="7"/>
      <c r="AM876" s="8"/>
    </row>
    <row r="877" spans="1:39" ht="12.75" customHeight="1" x14ac:dyDescent="0.25">
      <c r="A877" s="24"/>
      <c r="E877" s="6"/>
      <c r="F877" s="7"/>
      <c r="AM877" s="8"/>
    </row>
    <row r="878" spans="1:39" ht="12.75" customHeight="1" x14ac:dyDescent="0.25">
      <c r="A878" s="24"/>
      <c r="E878" s="6"/>
      <c r="F878" s="7"/>
      <c r="AM878" s="8"/>
    </row>
    <row r="879" spans="1:39" ht="12.75" customHeight="1" x14ac:dyDescent="0.25">
      <c r="A879" s="24"/>
      <c r="E879" s="6"/>
      <c r="F879" s="7"/>
      <c r="AM879" s="8"/>
    </row>
    <row r="880" spans="1:39" ht="12.75" customHeight="1" x14ac:dyDescent="0.25">
      <c r="A880" s="24"/>
      <c r="E880" s="6"/>
      <c r="F880" s="7"/>
      <c r="AM880" s="8"/>
    </row>
    <row r="881" spans="1:39" ht="12.75" customHeight="1" x14ac:dyDescent="0.25">
      <c r="A881" s="24"/>
      <c r="E881" s="6"/>
      <c r="F881" s="7"/>
      <c r="AM881" s="8"/>
    </row>
    <row r="882" spans="1:39" ht="12.75" customHeight="1" x14ac:dyDescent="0.25">
      <c r="A882" s="24"/>
      <c r="E882" s="6"/>
      <c r="F882" s="7"/>
      <c r="AM882" s="8"/>
    </row>
    <row r="883" spans="1:39" ht="12.75" customHeight="1" x14ac:dyDescent="0.25">
      <c r="A883" s="24"/>
      <c r="E883" s="6"/>
      <c r="F883" s="7"/>
      <c r="AM883" s="8"/>
    </row>
    <row r="884" spans="1:39" ht="12.75" customHeight="1" x14ac:dyDescent="0.25">
      <c r="A884" s="24"/>
      <c r="E884" s="6"/>
      <c r="F884" s="7"/>
      <c r="AM884" s="8"/>
    </row>
    <row r="885" spans="1:39" ht="12.75" customHeight="1" x14ac:dyDescent="0.25">
      <c r="A885" s="24"/>
      <c r="E885" s="6"/>
      <c r="F885" s="7"/>
      <c r="AM885" s="8"/>
    </row>
    <row r="886" spans="1:39" ht="12.75" customHeight="1" x14ac:dyDescent="0.25">
      <c r="A886" s="24"/>
      <c r="E886" s="6"/>
      <c r="F886" s="7"/>
      <c r="AM886" s="8"/>
    </row>
    <row r="887" spans="1:39" ht="12.75" customHeight="1" x14ac:dyDescent="0.25">
      <c r="A887" s="24"/>
      <c r="E887" s="6"/>
      <c r="F887" s="7"/>
      <c r="AM887" s="8"/>
    </row>
    <row r="888" spans="1:39" ht="12.75" customHeight="1" x14ac:dyDescent="0.25">
      <c r="A888" s="24"/>
      <c r="E888" s="6"/>
      <c r="F888" s="7"/>
      <c r="AM888" s="8"/>
    </row>
    <row r="889" spans="1:39" ht="12.75" customHeight="1" x14ac:dyDescent="0.25">
      <c r="A889" s="24"/>
      <c r="E889" s="6"/>
      <c r="F889" s="7"/>
      <c r="AM889" s="8"/>
    </row>
    <row r="890" spans="1:39" ht="12.75" customHeight="1" x14ac:dyDescent="0.25">
      <c r="A890" s="24"/>
      <c r="E890" s="6"/>
      <c r="F890" s="7"/>
      <c r="AM890" s="8"/>
    </row>
    <row r="891" spans="1:39" ht="12.75" customHeight="1" x14ac:dyDescent="0.25">
      <c r="A891" s="24"/>
      <c r="E891" s="6"/>
      <c r="F891" s="7"/>
      <c r="AM891" s="8"/>
    </row>
    <row r="892" spans="1:39" ht="12.75" customHeight="1" x14ac:dyDescent="0.25">
      <c r="A892" s="24"/>
      <c r="E892" s="6"/>
      <c r="F892" s="7"/>
      <c r="AM892" s="8"/>
    </row>
    <row r="893" spans="1:39" ht="12.75" customHeight="1" x14ac:dyDescent="0.25">
      <c r="A893" s="24"/>
      <c r="E893" s="6"/>
      <c r="F893" s="7"/>
      <c r="AM893" s="8"/>
    </row>
    <row r="894" spans="1:39" ht="12.75" customHeight="1" x14ac:dyDescent="0.25">
      <c r="A894" s="24"/>
      <c r="E894" s="6"/>
      <c r="F894" s="7"/>
      <c r="AM894" s="8"/>
    </row>
    <row r="895" spans="1:39" ht="12.75" customHeight="1" x14ac:dyDescent="0.25">
      <c r="A895" s="24"/>
      <c r="E895" s="6"/>
      <c r="F895" s="7"/>
      <c r="AM895" s="8"/>
    </row>
    <row r="896" spans="1:39" ht="12.75" customHeight="1" x14ac:dyDescent="0.25">
      <c r="A896" s="24"/>
      <c r="E896" s="6"/>
      <c r="F896" s="7"/>
      <c r="AM896" s="8"/>
    </row>
    <row r="897" spans="1:39" ht="12.75" customHeight="1" x14ac:dyDescent="0.25">
      <c r="A897" s="24"/>
      <c r="E897" s="6"/>
      <c r="F897" s="7"/>
      <c r="AM897" s="8"/>
    </row>
    <row r="898" spans="1:39" ht="12.75" customHeight="1" x14ac:dyDescent="0.25">
      <c r="A898" s="24"/>
      <c r="E898" s="6"/>
      <c r="F898" s="7"/>
      <c r="AM898" s="8"/>
    </row>
    <row r="899" spans="1:39" ht="12.75" customHeight="1" x14ac:dyDescent="0.25">
      <c r="A899" s="24"/>
      <c r="E899" s="6"/>
      <c r="F899" s="7"/>
      <c r="AM899" s="8"/>
    </row>
    <row r="900" spans="1:39" ht="12.75" customHeight="1" x14ac:dyDescent="0.25">
      <c r="A900" s="24"/>
      <c r="E900" s="6"/>
      <c r="F900" s="7"/>
      <c r="AM900" s="8"/>
    </row>
    <row r="901" spans="1:39" ht="12.75" customHeight="1" x14ac:dyDescent="0.25">
      <c r="A901" s="24"/>
      <c r="E901" s="6"/>
      <c r="F901" s="7"/>
      <c r="AM901" s="8"/>
    </row>
    <row r="902" spans="1:39" ht="12.75" customHeight="1" x14ac:dyDescent="0.25">
      <c r="A902" s="24"/>
      <c r="E902" s="6"/>
      <c r="F902" s="7"/>
      <c r="AM902" s="8"/>
    </row>
    <row r="903" spans="1:39" ht="12.75" customHeight="1" x14ac:dyDescent="0.25">
      <c r="A903" s="24"/>
      <c r="E903" s="6"/>
      <c r="F903" s="7"/>
      <c r="AM903" s="8"/>
    </row>
    <row r="904" spans="1:39" ht="12.75" customHeight="1" x14ac:dyDescent="0.25">
      <c r="A904" s="24"/>
      <c r="E904" s="6"/>
      <c r="F904" s="7"/>
      <c r="AM904" s="8"/>
    </row>
    <row r="905" spans="1:39" ht="12.75" customHeight="1" x14ac:dyDescent="0.25">
      <c r="A905" s="24"/>
      <c r="E905" s="6"/>
      <c r="F905" s="7"/>
      <c r="AM905" s="8"/>
    </row>
    <row r="906" spans="1:39" ht="12.75" customHeight="1" x14ac:dyDescent="0.25">
      <c r="A906" s="24"/>
      <c r="E906" s="6"/>
      <c r="F906" s="7"/>
      <c r="AM906" s="8"/>
    </row>
    <row r="907" spans="1:39" ht="12.75" customHeight="1" x14ac:dyDescent="0.25">
      <c r="A907" s="24"/>
      <c r="E907" s="6"/>
      <c r="F907" s="7"/>
      <c r="AM907" s="8"/>
    </row>
    <row r="908" spans="1:39" ht="12.75" customHeight="1" x14ac:dyDescent="0.25">
      <c r="A908" s="24"/>
      <c r="E908" s="6"/>
      <c r="F908" s="7"/>
      <c r="AM908" s="8"/>
    </row>
    <row r="909" spans="1:39" ht="12.75" customHeight="1" x14ac:dyDescent="0.25">
      <c r="A909" s="24"/>
      <c r="E909" s="6"/>
      <c r="F909" s="7"/>
      <c r="AM909" s="8"/>
    </row>
    <row r="910" spans="1:39" ht="12.75" customHeight="1" x14ac:dyDescent="0.25">
      <c r="A910" s="24"/>
      <c r="E910" s="6"/>
      <c r="F910" s="7"/>
      <c r="AM910" s="8"/>
    </row>
    <row r="911" spans="1:39" ht="12.75" customHeight="1" x14ac:dyDescent="0.25">
      <c r="A911" s="24"/>
      <c r="E911" s="6"/>
      <c r="F911" s="7"/>
      <c r="AM911" s="8"/>
    </row>
    <row r="912" spans="1:39" ht="12.75" customHeight="1" x14ac:dyDescent="0.25">
      <c r="A912" s="24"/>
      <c r="E912" s="6"/>
      <c r="F912" s="7"/>
      <c r="AM912" s="8"/>
    </row>
    <row r="913" spans="1:39" ht="12.75" customHeight="1" x14ac:dyDescent="0.25">
      <c r="A913" s="24"/>
      <c r="E913" s="6"/>
      <c r="F913" s="7"/>
      <c r="AM913" s="8"/>
    </row>
    <row r="914" spans="1:39" ht="12.75" customHeight="1" x14ac:dyDescent="0.25">
      <c r="A914" s="24"/>
      <c r="E914" s="6"/>
      <c r="F914" s="7"/>
      <c r="AM914" s="8"/>
    </row>
    <row r="915" spans="1:39" ht="12.75" customHeight="1" x14ac:dyDescent="0.25">
      <c r="A915" s="24"/>
      <c r="E915" s="6"/>
      <c r="F915" s="7"/>
      <c r="AM915" s="8"/>
    </row>
    <row r="916" spans="1:39" ht="12.75" customHeight="1" x14ac:dyDescent="0.25">
      <c r="A916" s="24"/>
      <c r="E916" s="6"/>
      <c r="F916" s="7"/>
      <c r="AM916" s="8"/>
    </row>
    <row r="917" spans="1:39" ht="12.75" customHeight="1" x14ac:dyDescent="0.25">
      <c r="A917" s="24"/>
      <c r="E917" s="6"/>
      <c r="F917" s="7"/>
      <c r="AM917" s="8"/>
    </row>
    <row r="918" spans="1:39" ht="12.75" customHeight="1" x14ac:dyDescent="0.25">
      <c r="A918" s="24"/>
      <c r="E918" s="6"/>
      <c r="F918" s="7"/>
      <c r="AM918" s="8"/>
    </row>
    <row r="919" spans="1:39" ht="12.75" customHeight="1" x14ac:dyDescent="0.25">
      <c r="A919" s="24"/>
      <c r="E919" s="6"/>
      <c r="F919" s="7"/>
      <c r="AM919" s="8"/>
    </row>
    <row r="920" spans="1:39" ht="12.75" customHeight="1" x14ac:dyDescent="0.25">
      <c r="A920" s="24"/>
      <c r="E920" s="6"/>
      <c r="F920" s="7"/>
      <c r="AM920" s="8"/>
    </row>
    <row r="921" spans="1:39" ht="12.75" customHeight="1" x14ac:dyDescent="0.25">
      <c r="A921" s="24"/>
      <c r="E921" s="6"/>
      <c r="F921" s="7"/>
      <c r="AM921" s="8"/>
    </row>
    <row r="922" spans="1:39" ht="12.75" customHeight="1" x14ac:dyDescent="0.25">
      <c r="A922" s="24"/>
      <c r="E922" s="6"/>
      <c r="F922" s="7"/>
      <c r="AM922" s="8"/>
    </row>
    <row r="923" spans="1:39" ht="12.75" customHeight="1" x14ac:dyDescent="0.25">
      <c r="A923" s="24"/>
      <c r="E923" s="6"/>
      <c r="F923" s="7"/>
      <c r="AM923" s="8"/>
    </row>
    <row r="924" spans="1:39" ht="12.75" customHeight="1" x14ac:dyDescent="0.25">
      <c r="A924" s="24"/>
      <c r="E924" s="6"/>
      <c r="F924" s="7"/>
      <c r="AM924" s="8"/>
    </row>
    <row r="925" spans="1:39" ht="12.75" customHeight="1" x14ac:dyDescent="0.25">
      <c r="A925" s="24"/>
      <c r="E925" s="6"/>
      <c r="F925" s="7"/>
      <c r="AM925" s="8"/>
    </row>
    <row r="926" spans="1:39" ht="12.75" customHeight="1" x14ac:dyDescent="0.25">
      <c r="A926" s="24"/>
      <c r="E926" s="6"/>
      <c r="F926" s="7"/>
      <c r="AM926" s="8"/>
    </row>
    <row r="927" spans="1:39" ht="12.75" customHeight="1" x14ac:dyDescent="0.25">
      <c r="A927" s="24"/>
      <c r="E927" s="6"/>
      <c r="F927" s="7"/>
      <c r="AM927" s="8"/>
    </row>
    <row r="928" spans="1:39" ht="12.75" customHeight="1" x14ac:dyDescent="0.25">
      <c r="A928" s="24"/>
      <c r="E928" s="6"/>
      <c r="F928" s="7"/>
      <c r="AM928" s="8"/>
    </row>
    <row r="929" spans="1:39" ht="12.75" customHeight="1" x14ac:dyDescent="0.25">
      <c r="A929" s="24"/>
      <c r="E929" s="6"/>
      <c r="F929" s="7"/>
      <c r="AM929" s="8"/>
    </row>
    <row r="930" spans="1:39" ht="12.75" customHeight="1" x14ac:dyDescent="0.25">
      <c r="A930" s="24"/>
      <c r="E930" s="6"/>
      <c r="F930" s="7"/>
      <c r="AM930" s="8"/>
    </row>
    <row r="931" spans="1:39" ht="12.75" customHeight="1" x14ac:dyDescent="0.25">
      <c r="A931" s="24"/>
      <c r="E931" s="6"/>
      <c r="F931" s="7"/>
      <c r="AM931" s="8"/>
    </row>
    <row r="932" spans="1:39" ht="12.75" customHeight="1" x14ac:dyDescent="0.25">
      <c r="A932" s="24"/>
      <c r="E932" s="6"/>
      <c r="F932" s="7"/>
      <c r="AM932" s="8"/>
    </row>
    <row r="933" spans="1:39" ht="12.75" customHeight="1" x14ac:dyDescent="0.25">
      <c r="A933" s="24"/>
      <c r="E933" s="6"/>
      <c r="F933" s="7"/>
      <c r="AM933" s="8"/>
    </row>
    <row r="934" spans="1:39" ht="12.75" customHeight="1" x14ac:dyDescent="0.25">
      <c r="A934" s="24"/>
      <c r="E934" s="6"/>
      <c r="F934" s="7"/>
      <c r="AM934" s="8"/>
    </row>
    <row r="935" spans="1:39" ht="12.75" customHeight="1" x14ac:dyDescent="0.25">
      <c r="A935" s="24"/>
      <c r="E935" s="6"/>
      <c r="F935" s="7"/>
      <c r="AM935" s="8"/>
    </row>
    <row r="936" spans="1:39" ht="12.75" customHeight="1" x14ac:dyDescent="0.25">
      <c r="A936" s="24"/>
      <c r="E936" s="6"/>
      <c r="F936" s="7"/>
      <c r="AM936" s="8"/>
    </row>
    <row r="937" spans="1:39" ht="12.75" customHeight="1" x14ac:dyDescent="0.25">
      <c r="A937" s="24"/>
      <c r="E937" s="6"/>
      <c r="F937" s="7"/>
      <c r="AM937" s="8"/>
    </row>
    <row r="938" spans="1:39" ht="12.75" customHeight="1" x14ac:dyDescent="0.25">
      <c r="A938" s="24"/>
      <c r="E938" s="6"/>
      <c r="F938" s="7"/>
      <c r="AM938" s="8"/>
    </row>
    <row r="939" spans="1:39" ht="12.75" customHeight="1" x14ac:dyDescent="0.25">
      <c r="A939" s="24"/>
      <c r="E939" s="6"/>
      <c r="F939" s="7"/>
      <c r="AM939" s="8"/>
    </row>
    <row r="940" spans="1:39" ht="12.75" customHeight="1" x14ac:dyDescent="0.25">
      <c r="A940" s="24"/>
      <c r="E940" s="6"/>
      <c r="F940" s="7"/>
      <c r="AM940" s="8"/>
    </row>
    <row r="941" spans="1:39" ht="12.75" customHeight="1" x14ac:dyDescent="0.25">
      <c r="A941" s="24"/>
      <c r="E941" s="6"/>
      <c r="F941" s="7"/>
      <c r="AM941" s="8"/>
    </row>
    <row r="942" spans="1:39" ht="12.75" customHeight="1" x14ac:dyDescent="0.25">
      <c r="A942" s="24"/>
      <c r="E942" s="6"/>
      <c r="F942" s="7"/>
      <c r="AM942" s="8"/>
    </row>
    <row r="943" spans="1:39" ht="12.75" customHeight="1" x14ac:dyDescent="0.25">
      <c r="A943" s="24"/>
      <c r="E943" s="6"/>
      <c r="F943" s="7"/>
      <c r="AM943" s="8"/>
    </row>
    <row r="944" spans="1:39" ht="12.75" customHeight="1" x14ac:dyDescent="0.25">
      <c r="A944" s="24"/>
      <c r="E944" s="6"/>
      <c r="F944" s="7"/>
      <c r="AM944" s="8"/>
    </row>
    <row r="945" spans="1:39" ht="12.75" customHeight="1" x14ac:dyDescent="0.25">
      <c r="A945" s="24"/>
      <c r="E945" s="6"/>
      <c r="F945" s="7"/>
      <c r="AM945" s="8"/>
    </row>
    <row r="946" spans="1:39" ht="12.75" customHeight="1" x14ac:dyDescent="0.25">
      <c r="A946" s="24"/>
      <c r="E946" s="6"/>
      <c r="F946" s="7"/>
      <c r="AM946" s="8"/>
    </row>
    <row r="947" spans="1:39" ht="12.75" customHeight="1" x14ac:dyDescent="0.25">
      <c r="A947" s="24"/>
      <c r="E947" s="6"/>
      <c r="F947" s="7"/>
      <c r="AM947" s="8"/>
    </row>
    <row r="948" spans="1:39" ht="12.75" customHeight="1" x14ac:dyDescent="0.25">
      <c r="A948" s="24"/>
      <c r="E948" s="6"/>
      <c r="F948" s="7"/>
      <c r="AM948" s="8"/>
    </row>
    <row r="949" spans="1:39" ht="12.75" customHeight="1" x14ac:dyDescent="0.25">
      <c r="A949" s="24"/>
      <c r="E949" s="6"/>
      <c r="F949" s="7"/>
      <c r="AM949" s="8"/>
    </row>
    <row r="950" spans="1:39" ht="12.75" customHeight="1" x14ac:dyDescent="0.25">
      <c r="A950" s="24"/>
      <c r="E950" s="6"/>
      <c r="F950" s="7"/>
      <c r="AM950" s="8"/>
    </row>
    <row r="951" spans="1:39" ht="12.75" customHeight="1" x14ac:dyDescent="0.25">
      <c r="A951" s="24"/>
      <c r="E951" s="6"/>
      <c r="F951" s="7"/>
      <c r="AM951" s="8"/>
    </row>
    <row r="952" spans="1:39" ht="12.75" customHeight="1" x14ac:dyDescent="0.25">
      <c r="A952" s="24"/>
      <c r="E952" s="6"/>
      <c r="F952" s="7"/>
      <c r="AM952" s="8"/>
    </row>
    <row r="953" spans="1:39" ht="12.75" customHeight="1" x14ac:dyDescent="0.25">
      <c r="A953" s="24"/>
      <c r="E953" s="6"/>
      <c r="F953" s="7"/>
      <c r="AM953" s="8"/>
    </row>
    <row r="954" spans="1:39" ht="12.75" customHeight="1" x14ac:dyDescent="0.25">
      <c r="A954" s="24"/>
      <c r="E954" s="6"/>
      <c r="F954" s="7"/>
      <c r="AM954" s="8"/>
    </row>
    <row r="955" spans="1:39" ht="12.75" customHeight="1" x14ac:dyDescent="0.25">
      <c r="A955" s="24"/>
      <c r="E955" s="6"/>
      <c r="F955" s="7"/>
      <c r="AM955" s="8"/>
    </row>
    <row r="956" spans="1:39" ht="12.75" customHeight="1" x14ac:dyDescent="0.25">
      <c r="A956" s="24"/>
      <c r="E956" s="6"/>
      <c r="F956" s="7"/>
      <c r="AM956" s="8"/>
    </row>
    <row r="957" spans="1:39" ht="12.75" customHeight="1" x14ac:dyDescent="0.25">
      <c r="A957" s="24"/>
      <c r="E957" s="6"/>
      <c r="F957" s="7"/>
      <c r="AM957" s="8"/>
    </row>
    <row r="958" spans="1:39" ht="12.75" customHeight="1" x14ac:dyDescent="0.25">
      <c r="A958" s="24"/>
      <c r="E958" s="6"/>
      <c r="F958" s="7"/>
      <c r="AM958" s="8"/>
    </row>
    <row r="959" spans="1:39" ht="12.75" customHeight="1" x14ac:dyDescent="0.25">
      <c r="A959" s="24"/>
      <c r="E959" s="6"/>
      <c r="F959" s="7"/>
      <c r="AM959" s="8"/>
    </row>
    <row r="960" spans="1:39" ht="12.75" customHeight="1" x14ac:dyDescent="0.25">
      <c r="A960" s="24"/>
      <c r="E960" s="6"/>
      <c r="F960" s="7"/>
      <c r="AM960" s="8"/>
    </row>
    <row r="961" spans="1:39" ht="12.75" customHeight="1" x14ac:dyDescent="0.25">
      <c r="A961" s="24"/>
      <c r="E961" s="6"/>
      <c r="F961" s="7"/>
      <c r="AM961" s="8"/>
    </row>
    <row r="962" spans="1:39" ht="12.75" customHeight="1" x14ac:dyDescent="0.25">
      <c r="A962" s="24"/>
      <c r="E962" s="6"/>
      <c r="F962" s="7"/>
      <c r="AM962" s="8"/>
    </row>
    <row r="963" spans="1:39" ht="12.75" customHeight="1" x14ac:dyDescent="0.25">
      <c r="A963" s="24"/>
      <c r="E963" s="6"/>
      <c r="F963" s="7"/>
      <c r="AM963" s="8"/>
    </row>
    <row r="964" spans="1:39" ht="12.75" customHeight="1" x14ac:dyDescent="0.25">
      <c r="A964" s="24"/>
      <c r="E964" s="6"/>
      <c r="F964" s="7"/>
      <c r="AM964" s="8"/>
    </row>
    <row r="965" spans="1:39" ht="12.75" customHeight="1" x14ac:dyDescent="0.25">
      <c r="A965" s="24"/>
      <c r="E965" s="6"/>
      <c r="F965" s="7"/>
      <c r="AM965" s="8"/>
    </row>
    <row r="966" spans="1:39" ht="12.75" customHeight="1" x14ac:dyDescent="0.25">
      <c r="A966" s="24"/>
      <c r="E966" s="6"/>
      <c r="F966" s="7"/>
      <c r="AM966" s="8"/>
    </row>
    <row r="967" spans="1:39" ht="12.75" customHeight="1" x14ac:dyDescent="0.25">
      <c r="A967" s="24"/>
      <c r="E967" s="6"/>
      <c r="F967" s="7"/>
      <c r="AM967" s="8"/>
    </row>
    <row r="968" spans="1:39" ht="12.75" customHeight="1" x14ac:dyDescent="0.25">
      <c r="A968" s="24"/>
      <c r="E968" s="6"/>
      <c r="F968" s="7"/>
      <c r="AM968" s="8"/>
    </row>
    <row r="969" spans="1:39" ht="12.75" customHeight="1" x14ac:dyDescent="0.25">
      <c r="A969" s="24"/>
      <c r="E969" s="6"/>
      <c r="F969" s="7"/>
      <c r="AM969" s="8"/>
    </row>
    <row r="970" spans="1:39" ht="12.75" customHeight="1" x14ac:dyDescent="0.25">
      <c r="A970" s="24"/>
      <c r="E970" s="6"/>
      <c r="F970" s="7"/>
      <c r="AM970" s="8"/>
    </row>
    <row r="971" spans="1:39" ht="12.75" customHeight="1" x14ac:dyDescent="0.25">
      <c r="A971" s="24"/>
      <c r="E971" s="6"/>
      <c r="F971" s="7"/>
      <c r="AM971" s="8"/>
    </row>
    <row r="972" spans="1:39" ht="12.75" customHeight="1" x14ac:dyDescent="0.25">
      <c r="A972" s="24"/>
      <c r="E972" s="6"/>
      <c r="F972" s="7"/>
      <c r="AM972" s="8"/>
    </row>
    <row r="973" spans="1:39" ht="12.75" customHeight="1" x14ac:dyDescent="0.25">
      <c r="A973" s="24"/>
      <c r="E973" s="6"/>
      <c r="F973" s="7"/>
      <c r="AM973" s="8"/>
    </row>
    <row r="974" spans="1:39" ht="12.75" customHeight="1" x14ac:dyDescent="0.25">
      <c r="A974" s="24"/>
      <c r="E974" s="6"/>
      <c r="F974" s="7"/>
      <c r="AM974" s="8"/>
    </row>
    <row r="975" spans="1:39" ht="12.75" customHeight="1" x14ac:dyDescent="0.25">
      <c r="A975" s="24"/>
      <c r="E975" s="6"/>
      <c r="F975" s="7"/>
      <c r="AM975" s="8"/>
    </row>
    <row r="976" spans="1:39" ht="12.75" customHeight="1" x14ac:dyDescent="0.25">
      <c r="A976" s="24"/>
      <c r="E976" s="6"/>
      <c r="F976" s="7"/>
      <c r="AM976" s="8"/>
    </row>
    <row r="977" spans="1:39" ht="12.75" customHeight="1" x14ac:dyDescent="0.25">
      <c r="A977" s="24"/>
      <c r="E977" s="6"/>
      <c r="F977" s="7"/>
      <c r="AM977" s="8"/>
    </row>
    <row r="978" spans="1:39" ht="12.75" customHeight="1" x14ac:dyDescent="0.25">
      <c r="A978" s="24"/>
      <c r="E978" s="6"/>
      <c r="F978" s="7"/>
      <c r="AM978" s="8"/>
    </row>
    <row r="979" spans="1:39" ht="12.75" customHeight="1" x14ac:dyDescent="0.25">
      <c r="A979" s="24"/>
      <c r="E979" s="6"/>
      <c r="F979" s="7"/>
      <c r="AM979" s="8"/>
    </row>
    <row r="980" spans="1:39" ht="12.75" customHeight="1" x14ac:dyDescent="0.25">
      <c r="A980" s="24"/>
      <c r="E980" s="6"/>
      <c r="F980" s="7"/>
      <c r="AM980" s="8"/>
    </row>
    <row r="981" spans="1:39" ht="12.75" customHeight="1" x14ac:dyDescent="0.25">
      <c r="A981" s="24"/>
      <c r="E981" s="6"/>
      <c r="F981" s="7"/>
      <c r="AM981" s="8"/>
    </row>
    <row r="982" spans="1:39" ht="12.75" customHeight="1" x14ac:dyDescent="0.25">
      <c r="A982" s="24"/>
      <c r="E982" s="6"/>
      <c r="F982" s="7"/>
      <c r="AM982" s="8"/>
    </row>
    <row r="983" spans="1:39" ht="12.75" customHeight="1" x14ac:dyDescent="0.25">
      <c r="A983" s="24"/>
      <c r="E983" s="6"/>
      <c r="F983" s="7"/>
      <c r="AM983" s="8"/>
    </row>
    <row r="984" spans="1:39" ht="12.75" customHeight="1" x14ac:dyDescent="0.25">
      <c r="A984" s="24"/>
      <c r="E984" s="6"/>
      <c r="F984" s="7"/>
      <c r="AM984" s="8"/>
    </row>
    <row r="985" spans="1:39" ht="12.75" customHeight="1" x14ac:dyDescent="0.25">
      <c r="A985" s="24"/>
      <c r="E985" s="6"/>
      <c r="F985" s="7"/>
      <c r="AM985" s="8"/>
    </row>
    <row r="986" spans="1:39" ht="12.75" customHeight="1" x14ac:dyDescent="0.25">
      <c r="A986" s="24"/>
      <c r="E986" s="6"/>
      <c r="F986" s="7"/>
      <c r="AM986" s="8"/>
    </row>
    <row r="987" spans="1:39" ht="12.75" customHeight="1" x14ac:dyDescent="0.25">
      <c r="A987" s="24"/>
      <c r="E987" s="6"/>
      <c r="F987" s="7"/>
      <c r="AM987" s="8"/>
    </row>
    <row r="988" spans="1:39" ht="12.75" customHeight="1" x14ac:dyDescent="0.25">
      <c r="A988" s="24"/>
      <c r="E988" s="6"/>
      <c r="F988" s="7"/>
      <c r="AM988" s="8"/>
    </row>
    <row r="989" spans="1:39" ht="12.75" customHeight="1" x14ac:dyDescent="0.25">
      <c r="A989" s="24"/>
      <c r="E989" s="6"/>
      <c r="F989" s="7"/>
      <c r="AM989" s="8"/>
    </row>
    <row r="990" spans="1:39" ht="12.75" customHeight="1" x14ac:dyDescent="0.25">
      <c r="A990" s="24"/>
      <c r="E990" s="6"/>
      <c r="F990" s="7"/>
      <c r="AM990" s="8"/>
    </row>
    <row r="991" spans="1:39" ht="12.75" customHeight="1" x14ac:dyDescent="0.25">
      <c r="A991" s="24"/>
      <c r="E991" s="6"/>
      <c r="F991" s="7"/>
      <c r="AM991" s="8"/>
    </row>
    <row r="992" spans="1:39" ht="12.75" customHeight="1" x14ac:dyDescent="0.25">
      <c r="A992" s="24"/>
      <c r="E992" s="6"/>
      <c r="F992" s="7"/>
      <c r="AM992" s="8"/>
    </row>
    <row r="993" spans="1:39" ht="12.75" customHeight="1" x14ac:dyDescent="0.25">
      <c r="A993" s="24"/>
      <c r="E993" s="6"/>
      <c r="F993" s="7"/>
      <c r="AM993" s="8"/>
    </row>
    <row r="994" spans="1:39" ht="12.75" customHeight="1" x14ac:dyDescent="0.25">
      <c r="A994" s="24"/>
      <c r="E994" s="6"/>
      <c r="F994" s="7"/>
      <c r="AM994" s="8"/>
    </row>
    <row r="995" spans="1:39" ht="12.75" customHeight="1" x14ac:dyDescent="0.25">
      <c r="A995" s="24"/>
      <c r="E995" s="6"/>
      <c r="F995" s="7"/>
      <c r="AM995" s="8"/>
    </row>
    <row r="996" spans="1:39" ht="12.75" customHeight="1" x14ac:dyDescent="0.25">
      <c r="A996" s="24"/>
      <c r="E996" s="6"/>
      <c r="F996" s="7"/>
      <c r="AM996" s="8"/>
    </row>
    <row r="997" spans="1:39" ht="12.75" customHeight="1" x14ac:dyDescent="0.25">
      <c r="A997" s="24"/>
      <c r="E997" s="6"/>
      <c r="F997" s="7"/>
      <c r="AM997" s="8"/>
    </row>
    <row r="998" spans="1:39" ht="12.75" customHeight="1" x14ac:dyDescent="0.25">
      <c r="A998" s="24"/>
      <c r="E998" s="6"/>
      <c r="F998" s="7"/>
      <c r="AM998" s="8"/>
    </row>
    <row r="999" spans="1:39" ht="12.75" customHeight="1" x14ac:dyDescent="0.25">
      <c r="A999" s="24"/>
      <c r="E999" s="6"/>
      <c r="F999" s="7"/>
      <c r="AM999" s="8"/>
    </row>
    <row r="1000" spans="1:39" ht="12.75" customHeight="1" x14ac:dyDescent="0.25">
      <c r="A1000" s="24"/>
      <c r="E1000" s="6"/>
      <c r="F1000" s="7"/>
      <c r="AM1000" s="8"/>
    </row>
  </sheetData>
  <mergeCells count="3">
    <mergeCell ref="A1:AL1"/>
    <mergeCell ref="A2:AL2"/>
    <mergeCell ref="G4:AL4"/>
  </mergeCells>
  <pageMargins left="0.7" right="0.7" top="0.75" bottom="0.75" header="0" footer="0"/>
  <pageSetup orientation="portrait" useFirstPageNumber="1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HARTEK PADALARANG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2026-05-19T07:03:49Z</dcterms:created>
  <dcterms:modified xsi:type="dcterms:W3CDTF">2026-06-22T17:25:08Z</dcterms:modified>
</cp:coreProperties>
</file>